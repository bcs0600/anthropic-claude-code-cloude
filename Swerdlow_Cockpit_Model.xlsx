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ockpit" sheetId="2" state="visible" r:id="rId2"/>
    <sheet name="Master Assumptions" sheetId="3" state="visible" r:id="rId3"/>
    <sheet name="Database" sheetId="4" state="visible" r:id="rId4"/>
    <sheet name="All Phases" sheetId="5" state="visible" r:id="rId5"/>
    <sheet name="Phase Detail" sheetId="6" state="visible" r:id="rId6"/>
    <sheet name="Monthly CF" sheetId="7" state="visible" r:id="rId7"/>
    <sheet name="Lists" sheetId="8" state="hidden" r:id="rId8"/>
    <sheet name="Archive" sheetId="9" state="hidden" r:id="rId9"/>
  </sheets>
  <definedNames>
    <definedName name="PhaseID_List">'Lists'!$A$2:$A$101</definedName>
    <definedName name="PhaseName_List">'Lists'!$B$2:$B$101</definedName>
    <definedName name="BedroomType_List">'Lists'!$C$2:$C$8</definedName>
    <definedName name="RentBasis_List">'Lists'!$D$2:$D$6</definedName>
    <definedName name="UseType_List">'Lists'!$E$2:$E$4</definedName>
    <definedName name="RentType_List">'Lists'!$F$2:$F$3</definedName>
    <definedName name="CostCurve_List">'Lists'!$G$2:$G$5</definedName>
    <definedName name="YesNo_List">'Lists'!$H$2:$H$3</definedName>
    <definedName name="AMI_4person">'Master Assumptions'!$B$5</definedName>
    <definedName name="FMR_Table">'Master Assumptions'!$B$9:$B$15</definedName>
    <definedName name="UtilAllow_Table">'Master Assumptions'!$C$9:$C$15</definedName>
    <definedName name="HHSizeFactor_Table">'Master Assumptions'!$D$9:$D$15</definedName>
    <definedName name="Bedroom_Index">'Master Assumptions'!$A$9:$A$15</definedName>
    <definedName name="Basis_Index">'Master Assumptions'!$A$18:$A$22</definedName>
    <definedName name="Tier_Table">'Master Assumptions'!$B$18:$B$22</definedName>
    <definedName name="FMRFactor_Table">'Master Assumptions'!$C$18:$C$22</definedName>
    <definedName name="DerivRent_Matrix">'Master Assumptions'!$B$26:$E$32</definedName>
    <definedName name="DerivRent_Beds">'Master Assumptions'!$A$26:$A$32</definedName>
    <definedName name="DerivRent_Bases">'Master Assumptions'!$B$25:$E$25</definedName>
    <definedName name="Growth_Defaults">'Master Assumptions'!$B$39:$F$43</definedName>
    <definedName name="Growth_Rows">'Master Assumptions'!$A$39:$A$43</definedName>
    <definedName name="SelectedPhase">'Cockpit'!$B$4</definedName>
    <definedName name="Cockpit_Notes">'Cockpit'!$B$5</definedName>
    <definedName name="Closing_Date_Cell">'Cockpit'!$B$24</definedName>
    <definedName name="LeaseUpPace_in">'Cockpit'!$B$32</definedName>
    <definedName name="UM_Units">'Cockpit'!$C$37:$C$51</definedName>
    <definedName name="UM_TotSF">'Cockpit'!$G$37:$G$51</definedName>
    <definedName name="UM_TotRent">'Cockpit'!$J$37:$J$51</definedName>
    <definedName name="UM_Basis">'Cockpit'!$B$37:$B$51</definedName>
    <definedName name="Units_Total">'Cockpit'!$C$52</definedName>
    <definedName name="ResSF_Total">'Cockpit'!$G$52</definedName>
    <definedName name="ResRent_Total_mo">'Cockpit'!$J$52</definedName>
    <definedName name="OpEx_Total">'Cockpit'!$D$91</definedName>
    <definedName name="Comm_NOI">'Cockpit'!$B$124</definedName>
    <definedName name="TotalDevCost">'Cockpit'!$B$151</definedName>
    <definedName name="GPR_Annual">'Cockpit'!$C$153</definedName>
    <definedName name="LossOldLease">'Cockpit'!$C$154</definedName>
    <definedName name="NetRentRev">'Cockpit'!$C$155</definedName>
    <definedName name="VacancyAmt">'Cockpit'!$C$156</definedName>
    <definedName name="ConcessionAmt">'Cockpit'!$C$157</definedName>
    <definedName name="CollLoss">'Cockpit'!$C$158</definedName>
    <definedName name="EffRentRev">'Cockpit'!$C$159</definedName>
    <definedName name="OtherIncomeNet">'Cockpit'!$C$160</definedName>
    <definedName name="EGI_Annual">'Cockpit'!$C$161</definedName>
    <definedName name="TotOpEx">'Cockpit'!$C$170</definedName>
    <definedName name="OpExRatio">'Cockpit'!$C$171</definedName>
    <definedName name="NOI_Res">'Cockpit'!$C$172</definedName>
    <definedName name="NOI_CommLine">'Cockpit'!$C$173</definedName>
    <definedName name="NOI_Total">'Cockpit'!$C$174</definedName>
    <definedName name="HasCommercial_ref">'Cockpit'!$B$16</definedName>
    <definedName name="MaxRecordsPerPhase">'Database'!$B$2</definedName>
    <definedName name="SelectedPhaseDetail">'Phase Detail'!$B$3</definedName>
    <definedName name="CF_Closing">'Monthly CF'!$B$4</definedName>
  </definedNames>
  <calcPr calcId="124519" fullCalcOnLoad="1"/>
</workbook>
</file>

<file path=xl/styles.xml><?xml version="1.0" encoding="utf-8"?>
<styleSheet xmlns="http://schemas.openxmlformats.org/spreadsheetml/2006/main">
  <numFmts count="7">
    <numFmt numFmtId="164" formatCode="$#,##0;($#,##0);&quot;-&quot;"/>
    <numFmt numFmtId="165" formatCode="$#,##0.00;($#,##0.00);&quot;-&quot;"/>
    <numFmt numFmtId="166" formatCode="0.0%"/>
    <numFmt numFmtId="167" formatCode="mm/dd/yyyy"/>
    <numFmt numFmtId="168" formatCode="#,##0;(#,##0);&quot;-&quot;"/>
    <numFmt numFmtId="169" formatCode="yyyy-mm-dd"/>
    <numFmt numFmtId="170" formatCode="#,##0.0"/>
  </numFmts>
  <fonts count="28">
    <font>
      <name val="Calibri"/>
      <family val="2"/>
      <color theme="1"/>
      <sz val="11"/>
      <scheme val="minor"/>
    </font>
    <font>
      <name val="Arial"/>
      <b val="1"/>
      <color rgb="001F3864"/>
      <sz val="10"/>
    </font>
    <font>
      <name val="Arial"/>
      <sz val="10"/>
    </font>
    <font>
      <name val="Arial"/>
      <b val="1"/>
      <color rgb="001F3864"/>
      <sz val="13"/>
    </font>
    <font>
      <name val="Arial"/>
      <i val="1"/>
      <color rgb="00806000"/>
      <sz val="10"/>
    </font>
    <font>
      <name val="Arial"/>
      <b val="1"/>
      <color rgb="00FFFFFF"/>
      <sz val="11"/>
    </font>
    <font>
      <name val="Arial"/>
      <color rgb="00000000"/>
      <sz val="10"/>
    </font>
    <font>
      <name val="Arial"/>
      <color rgb="000000FF"/>
      <sz val="10"/>
    </font>
    <font>
      <name val="Arial"/>
      <b val="1"/>
      <color rgb="00000000"/>
      <sz val="10"/>
    </font>
    <font>
      <name val="Arial"/>
      <b val="1"/>
      <color rgb="001F3864"/>
      <sz val="14"/>
    </font>
    <font>
      <name val="Arial"/>
      <color rgb="00008000"/>
      <sz val="10"/>
    </font>
    <font>
      <name val="Arial"/>
      <b val="1"/>
      <color rgb="00FFFFFF"/>
      <sz val="10"/>
    </font>
    <font>
      <name val="Arial"/>
      <i val="1"/>
      <color rgb="00806000"/>
      <sz val="8"/>
    </font>
    <font>
      <name val="Arial"/>
      <b val="1"/>
      <color rgb="00000000"/>
      <sz val="9"/>
    </font>
    <font>
      <name val="Arial"/>
      <i val="1"/>
      <color rgb="00008000"/>
      <sz val="8"/>
    </font>
    <font>
      <name val="Arial"/>
      <color rgb="00C00000"/>
      <sz val="9"/>
    </font>
    <font>
      <name val="Arial"/>
      <color rgb="00000000"/>
      <sz val="9"/>
    </font>
    <font>
      <name val="Arial"/>
      <b val="1"/>
      <color rgb="00000000"/>
      <sz val="8"/>
    </font>
    <font>
      <name val="Arial"/>
      <b val="1"/>
      <color rgb="00FFFFFF"/>
      <sz val="8"/>
    </font>
    <font>
      <name val="Arial"/>
      <sz val="8"/>
    </font>
    <font>
      <name val="Arial"/>
      <b val="1"/>
      <color rgb="00FFFFFF"/>
      <sz val="9"/>
    </font>
    <font>
      <name val="Arial"/>
      <color rgb="00008000"/>
      <sz val="9"/>
    </font>
    <font>
      <name val="Arial"/>
      <b val="1"/>
      <color rgb="00C00000"/>
      <sz val="13"/>
    </font>
    <font>
      <name val="Arial"/>
      <color rgb="00008000"/>
      <sz val="8"/>
    </font>
    <font>
      <name val="Arial"/>
      <color rgb="00000000"/>
      <sz val="8"/>
    </font>
    <font>
      <name val="Arial"/>
      <b val="1"/>
      <color rgb="001F3864"/>
      <sz val="16"/>
    </font>
    <font>
      <name val="Arial"/>
      <b val="1"/>
      <color rgb="001F3864"/>
      <sz val="12"/>
    </font>
    <font>
      <name val="Arial"/>
      <b val="1"/>
      <color rgb="00C00000"/>
      <sz val="12"/>
    </font>
  </fonts>
  <fills count="7">
    <fill>
      <patternFill/>
    </fill>
    <fill>
      <patternFill patternType="gray125"/>
    </fill>
    <fill>
      <patternFill patternType="solid">
        <fgColor rgb="001F3864"/>
      </patternFill>
    </fill>
    <fill>
      <patternFill patternType="solid">
        <fgColor rgb="00E6F1FB"/>
      </patternFill>
    </fill>
    <fill>
      <patternFill patternType="solid">
        <fgColor rgb="00D9E1F2"/>
      </patternFill>
    </fill>
    <fill>
      <patternFill patternType="solid">
        <fgColor rgb="002E75B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85">
    <xf numFmtId="0" fontId="0" fillId="0" borderId="0" pivotButton="0" quotePrefix="0" xfId="0"/>
    <xf numFmtId="0" fontId="25" fillId="0" borderId="0" applyAlignment="1" pivotButton="0" quotePrefix="0" xfId="0">
      <alignment vertical="top" wrapText="1"/>
    </xf>
    <xf numFmtId="0" fontId="6" fillId="0" borderId="0" applyAlignment="1" pivotButton="0" quotePrefix="0" xfId="0">
      <alignment vertical="top" wrapText="1"/>
    </xf>
    <xf numFmtId="0" fontId="26" fillId="0" borderId="0" applyAlignment="1" pivotButton="0" quotePrefix="0" xfId="0">
      <alignment vertical="top" wrapText="1"/>
    </xf>
    <xf numFmtId="0" fontId="27" fillId="0" borderId="0" applyAlignment="1" pivotButton="0" quotePrefix="0" xfId="0">
      <alignment vertical="top" wrapText="1"/>
    </xf>
    <xf numFmtId="0" fontId="9" fillId="0" borderId="0" applyAlignment="1" pivotButton="0" quotePrefix="0" xfId="0">
      <alignment horizontal="left" vertical="center"/>
    </xf>
    <xf numFmtId="0" fontId="4" fillId="0" borderId="0" applyAlignment="1" pivotButton="0" quotePrefix="0" xfId="0">
      <alignment horizontal="left" vertical="center"/>
    </xf>
    <xf numFmtId="0" fontId="8" fillId="0" borderId="0" applyAlignment="1" pivotButton="0" quotePrefix="0" xfId="0">
      <alignment horizontal="left" vertical="center"/>
    </xf>
    <xf numFmtId="49" fontId="7" fillId="3" borderId="1" applyAlignment="1" applyProtection="1" pivotButton="0" quotePrefix="0" xfId="0">
      <alignment horizontal="left" vertical="center"/>
      <protection locked="0" hidden="0"/>
    </xf>
    <xf numFmtId="0" fontId="6" fillId="0" borderId="0" applyAlignment="1" pivotButton="0" quotePrefix="0" xfId="0">
      <alignment horizontal="left" vertical="center"/>
    </xf>
    <xf numFmtId="49" fontId="10" fillId="0" borderId="1" applyAlignment="1" pivotButton="0" quotePrefix="0" xfId="0">
      <alignment horizontal="left" vertical="center"/>
    </xf>
    <xf numFmtId="167" fontId="10" fillId="0" borderId="1" applyAlignment="1" pivotButton="0" quotePrefix="0" xfId="0">
      <alignment horizontal="left" vertical="center"/>
    </xf>
    <xf numFmtId="168" fontId="10" fillId="0" borderId="1" applyAlignment="1" pivotButton="0" quotePrefix="0" xfId="0">
      <alignment horizontal="left" vertical="center"/>
    </xf>
    <xf numFmtId="0" fontId="0" fillId="0" borderId="4" applyProtection="1" pivotButton="0" quotePrefix="0" xfId="0">
      <protection locked="0" hidden="0"/>
    </xf>
    <xf numFmtId="0" fontId="0" fillId="0" borderId="5" applyProtection="1" pivotButton="0" quotePrefix="0" xfId="0">
      <protection locked="0" hidden="0"/>
    </xf>
    <xf numFmtId="0" fontId="11" fillId="5" borderId="1" applyAlignment="1" pivotButton="0" quotePrefix="0" xfId="0">
      <alignment horizontal="center" vertical="center"/>
    </xf>
    <xf numFmtId="0" fontId="0" fillId="0" borderId="5" pivotButton="0" quotePrefix="0" xfId="0"/>
    <xf numFmtId="0" fontId="12" fillId="0" borderId="0" applyAlignment="1" pivotButton="0" quotePrefix="0" xfId="0">
      <alignment horizontal="left" vertical="center"/>
    </xf>
    <xf numFmtId="0" fontId="5" fillId="2" borderId="0" applyAlignment="1" pivotButton="0" quotePrefix="0" xfId="0">
      <alignment vertical="center"/>
    </xf>
    <xf numFmtId="0" fontId="6" fillId="2" borderId="0" applyAlignment="1" pivotButton="0" quotePrefix="0" xfId="0">
      <alignment vertical="center"/>
    </xf>
    <xf numFmtId="0" fontId="13" fillId="6" borderId="1" applyAlignment="1" pivotButton="0" quotePrefix="0" xfId="0">
      <alignment horizontal="center" vertical="center"/>
    </xf>
    <xf numFmtId="168" fontId="13" fillId="6" borderId="1" applyAlignment="1" pivotButton="0" quotePrefix="0" xfId="0">
      <alignment horizontal="center" vertical="center"/>
    </xf>
    <xf numFmtId="164" fontId="13" fillId="6" borderId="1" applyAlignment="1" pivotButton="0" quotePrefix="0" xfId="0">
      <alignment horizontal="center" vertical="center"/>
    </xf>
    <xf numFmtId="166" fontId="13" fillId="6" borderId="1" applyAlignment="1" pivotButton="0" quotePrefix="0" xfId="0">
      <alignment horizontal="center" vertical="center"/>
    </xf>
    <xf numFmtId="165" fontId="13" fillId="6" borderId="1" applyAlignment="1" pivotButton="0" quotePrefix="0" xfId="0">
      <alignment horizontal="center" vertical="center"/>
    </xf>
    <xf numFmtId="0" fontId="14" fillId="0" borderId="0" applyAlignment="1" pivotButton="0" quotePrefix="0" xfId="0">
      <alignment horizontal="right"/>
    </xf>
    <xf numFmtId="0" fontId="6" fillId="0" borderId="0" applyAlignment="1" pivotButton="0" quotePrefix="0" xfId="0">
      <alignment horizontal="left" vertical="center" indent="1"/>
    </xf>
    <xf numFmtId="49" fontId="7" fillId="3" borderId="1" applyAlignment="1" applyProtection="1" pivotButton="0" quotePrefix="0" xfId="0">
      <alignment horizontal="right" vertical="center"/>
      <protection locked="0" hidden="0"/>
    </xf>
    <xf numFmtId="49" fontId="10" fillId="0" borderId="1" applyAlignment="1" pivotButton="0" quotePrefix="0" xfId="0">
      <alignment horizontal="right" vertical="center"/>
    </xf>
    <xf numFmtId="0" fontId="15" fillId="0" borderId="0" applyAlignment="1" pivotButton="0" quotePrefix="0" xfId="0">
      <alignment horizontal="left" vertical="center"/>
    </xf>
    <xf numFmtId="168" fontId="7" fillId="3" borderId="1" applyAlignment="1" applyProtection="1" pivotButton="0" quotePrefix="0" xfId="0">
      <alignment horizontal="right" vertical="center"/>
      <protection locked="0" hidden="0"/>
    </xf>
    <xf numFmtId="168" fontId="10" fillId="0" borderId="1" applyAlignment="1" pivotButton="0" quotePrefix="0" xfId="0">
      <alignment horizontal="right" vertical="center"/>
    </xf>
    <xf numFmtId="2" fontId="6" fillId="0" borderId="1" applyAlignment="1" pivotButton="0" quotePrefix="0" xfId="0">
      <alignment horizontal="right" vertical="center"/>
    </xf>
    <xf numFmtId="167" fontId="7" fillId="3" borderId="1" applyAlignment="1" applyProtection="1" pivotButton="0" quotePrefix="0" xfId="0">
      <alignment horizontal="right" vertical="center"/>
      <protection locked="0" hidden="0"/>
    </xf>
    <xf numFmtId="167" fontId="10" fillId="0" borderId="1" applyAlignment="1" pivotButton="0" quotePrefix="0" xfId="0">
      <alignment horizontal="right" vertical="center"/>
    </xf>
    <xf numFmtId="167" fontId="6" fillId="0" borderId="1" applyAlignment="1" pivotButton="0" quotePrefix="0" xfId="0">
      <alignment horizontal="right" vertical="center"/>
    </xf>
    <xf numFmtId="0" fontId="14" fillId="0" borderId="0" applyAlignment="1" pivotButton="0" quotePrefix="0" xfId="0">
      <alignment horizontal="left" vertical="center"/>
    </xf>
    <xf numFmtId="166" fontId="6" fillId="0" borderId="1" applyAlignment="1" pivotButton="0" quotePrefix="0" xfId="0">
      <alignment horizontal="right" vertical="center"/>
    </xf>
    <xf numFmtId="170" fontId="6" fillId="0" borderId="1" applyAlignment="1" pivotButton="0" quotePrefix="0" xfId="0">
      <alignment horizontal="right" vertical="center"/>
    </xf>
    <xf numFmtId="0" fontId="13" fillId="4" borderId="1" applyAlignment="1" pivotButton="0" quotePrefix="0" xfId="0">
      <alignment horizontal="center" vertical="center" wrapText="1"/>
    </xf>
    <xf numFmtId="0" fontId="7" fillId="3" borderId="1" applyAlignment="1" applyProtection="1" pivotButton="0" quotePrefix="0" xfId="0">
      <alignment horizontal="left" vertical="center"/>
      <protection locked="0" hidden="0"/>
    </xf>
    <xf numFmtId="165" fontId="7" fillId="3" borderId="1" applyAlignment="1" applyProtection="1" pivotButton="0" quotePrefix="0" xfId="0">
      <alignment horizontal="right" vertical="center"/>
      <protection locked="0" hidden="0"/>
    </xf>
    <xf numFmtId="165" fontId="6" fillId="0" borderId="1" applyAlignment="1" pivotButton="0" quotePrefix="0" xfId="0">
      <alignment horizontal="right" vertical="center"/>
    </xf>
    <xf numFmtId="168" fontId="6" fillId="0" borderId="1" applyAlignment="1" pivotButton="0" quotePrefix="0" xfId="0">
      <alignment horizontal="right" vertical="center"/>
    </xf>
    <xf numFmtId="164" fontId="6" fillId="0" borderId="1" applyAlignment="1" pivotButton="0" quotePrefix="0" xfId="0">
      <alignment horizontal="right" vertical="center"/>
    </xf>
    <xf numFmtId="0" fontId="8" fillId="4" borderId="1" applyAlignment="1" pivotButton="0" quotePrefix="0" xfId="0">
      <alignment horizontal="left" vertical="center"/>
    </xf>
    <xf numFmtId="0" fontId="0" fillId="4" borderId="0" pivotButton="0" quotePrefix="0" xfId="0"/>
    <xf numFmtId="168" fontId="8" fillId="0" borderId="1" applyAlignment="1" pivotButton="0" quotePrefix="0" xfId="0">
      <alignment horizontal="right" vertical="center"/>
    </xf>
    <xf numFmtId="165" fontId="8" fillId="0" borderId="1" applyAlignment="1" pivotButton="0" quotePrefix="0" xfId="0">
      <alignment horizontal="right" vertical="center"/>
    </xf>
    <xf numFmtId="166" fontId="8" fillId="0" borderId="1" applyAlignment="1" pivotButton="0" quotePrefix="0" xfId="0">
      <alignment horizontal="right" vertical="center"/>
    </xf>
    <xf numFmtId="164" fontId="8" fillId="0" borderId="1" applyAlignment="1" pivotButton="0" quotePrefix="0" xfId="0">
      <alignment horizontal="right" vertical="center"/>
    </xf>
    <xf numFmtId="166" fontId="7" fillId="3" borderId="1" applyAlignment="1" applyProtection="1" pivotButton="0" quotePrefix="0" xfId="0">
      <alignment horizontal="right" vertical="center"/>
      <protection locked="0" hidden="0"/>
    </xf>
    <xf numFmtId="166" fontId="10" fillId="0" borderId="1" applyAlignment="1" pivotButton="0" quotePrefix="0" xfId="0">
      <alignment horizontal="right" vertical="center"/>
    </xf>
    <xf numFmtId="170" fontId="7" fillId="3" borderId="1" applyAlignment="1" applyProtection="1" pivotButton="0" quotePrefix="0" xfId="0">
      <alignment horizontal="right" vertical="center"/>
      <protection locked="0" hidden="0"/>
    </xf>
    <xf numFmtId="170" fontId="10" fillId="0" borderId="1" applyAlignment="1" pivotButton="0" quotePrefix="0" xfId="0">
      <alignment horizontal="right" vertical="center"/>
    </xf>
    <xf numFmtId="0" fontId="8" fillId="0" borderId="0" applyAlignment="1" pivotButton="0" quotePrefix="0" xfId="0">
      <alignment horizontal="left" vertical="center" indent="1"/>
    </xf>
    <xf numFmtId="0" fontId="13" fillId="4" borderId="1" applyAlignment="1" pivotButton="0" quotePrefix="0" xfId="0">
      <alignment horizontal="center" vertical="center"/>
    </xf>
    <xf numFmtId="0" fontId="16" fillId="0" borderId="1" applyAlignment="1" pivotButton="0" quotePrefix="0" xfId="0">
      <alignment horizontal="left" vertical="center"/>
    </xf>
    <xf numFmtId="164" fontId="7" fillId="3" borderId="1" applyAlignment="1" applyProtection="1" pivotButton="0" quotePrefix="0" xfId="0">
      <alignment horizontal="right" vertical="center"/>
      <protection locked="0" hidden="0"/>
    </xf>
    <xf numFmtId="165" fontId="10" fillId="0" borderId="1" applyAlignment="1" pivotButton="0" quotePrefix="0" xfId="0">
      <alignment horizontal="right" vertical="center"/>
    </xf>
    <xf numFmtId="0" fontId="17" fillId="4" borderId="1" applyAlignment="1" pivotButton="0" quotePrefix="0" xfId="0">
      <alignment horizontal="center" vertical="center" wrapText="1"/>
    </xf>
    <xf numFmtId="0" fontId="8" fillId="4" borderId="1" applyAlignment="1" pivotButton="0" quotePrefix="0" xfId="0">
      <alignment vertical="center"/>
    </xf>
    <xf numFmtId="0" fontId="8" fillId="4" borderId="1" applyAlignment="1" pivotButton="0" quotePrefix="0" xfId="0">
      <alignment horizontal="center" vertical="center"/>
    </xf>
    <xf numFmtId="0" fontId="6" fillId="0" borderId="1" applyAlignment="1" pivotButton="0" quotePrefix="0" xfId="0">
      <alignment horizontal="left" vertical="center"/>
    </xf>
    <xf numFmtId="0" fontId="11" fillId="2" borderId="0" applyAlignment="1" pivotButton="0" quotePrefix="0" xfId="0">
      <alignment horizontal="center" vertical="center"/>
    </xf>
    <xf numFmtId="0" fontId="3" fillId="0" borderId="0" applyAlignment="1" pivotButton="0" quotePrefix="0" xfId="0">
      <alignment horizontal="left" vertical="center"/>
    </xf>
    <xf numFmtId="2" fontId="7" fillId="3" borderId="1" applyAlignment="1" applyProtection="1" pivotButton="0" quotePrefix="0" xfId="0">
      <alignment horizontal="right" vertical="center"/>
      <protection locked="0" hidden="0"/>
    </xf>
    <xf numFmtId="0" fontId="1" fillId="0" borderId="0" applyAlignment="1" pivotButton="0" quotePrefix="0" xfId="0">
      <alignment horizontal="left" vertical="center"/>
    </xf>
    <xf numFmtId="168" fontId="7" fillId="3" borderId="1" applyAlignment="1" applyProtection="1" pivotButton="0" quotePrefix="0" xfId="0">
      <alignment horizontal="left" vertical="center"/>
      <protection locked="0" hidden="0"/>
    </xf>
    <xf numFmtId="0" fontId="19" fillId="2" borderId="1" applyAlignment="1" pivotButton="0" quotePrefix="0" xfId="0">
      <alignment horizontal="center" vertical="center"/>
    </xf>
    <xf numFmtId="0" fontId="19" fillId="0" borderId="0" pivotButton="0" quotePrefix="0" xfId="0"/>
    <xf numFmtId="0" fontId="20" fillId="2" borderId="1" applyAlignment="1" pivotButton="0" quotePrefix="0" xfId="0">
      <alignment horizontal="center" vertical="center"/>
    </xf>
    <xf numFmtId="49" fontId="21" fillId="0" borderId="1" applyAlignment="1" pivotButton="0" quotePrefix="0" xfId="0">
      <alignment horizontal="left" vertical="center"/>
    </xf>
    <xf numFmtId="168" fontId="21" fillId="0" borderId="1" applyAlignment="1" pivotButton="0" quotePrefix="0" xfId="0">
      <alignment horizontal="right" vertical="center"/>
    </xf>
    <xf numFmtId="164" fontId="21" fillId="0" borderId="1" applyAlignment="1" pivotButton="0" quotePrefix="0" xfId="0">
      <alignment horizontal="right" vertical="center"/>
    </xf>
    <xf numFmtId="168" fontId="8" fillId="4" borderId="1" applyAlignment="1" pivotButton="0" quotePrefix="0" xfId="0">
      <alignment horizontal="right" vertical="center"/>
    </xf>
    <xf numFmtId="0" fontId="11" fillId="2" borderId="0" applyAlignment="1" pivotButton="0" quotePrefix="0" xfId="0">
      <alignment vertical="center"/>
    </xf>
    <xf numFmtId="164" fontId="10" fillId="0" borderId="1" applyAlignment="1" pivotButton="0" quotePrefix="0" xfId="0">
      <alignment horizontal="right" vertical="center"/>
    </xf>
    <xf numFmtId="0" fontId="22" fillId="0" borderId="0" applyAlignment="1" pivotButton="0" quotePrefix="0" xfId="0">
      <alignment horizontal="left" vertical="center"/>
    </xf>
    <xf numFmtId="0" fontId="17" fillId="4" borderId="0" applyAlignment="1" pivotButton="0" quotePrefix="0" xfId="0">
      <alignment horizontal="center" vertical="center"/>
    </xf>
    <xf numFmtId="17" fontId="23" fillId="0" borderId="0" applyAlignment="1" pivotButton="0" quotePrefix="0" xfId="0">
      <alignment horizontal="center" vertical="center"/>
    </xf>
    <xf numFmtId="0" fontId="24" fillId="0" borderId="0" applyAlignment="1" pivotButton="0" quotePrefix="0" xfId="0">
      <alignment horizontal="center" vertical="center"/>
    </xf>
    <xf numFmtId="0" fontId="1" fillId="0" borderId="0" applyAlignment="1" pivotButton="0" quotePrefix="0" xfId="0">
      <alignment vertical="center"/>
    </xf>
    <xf numFmtId="0" fontId="2" fillId="0" borderId="0" pivotButton="0" quotePrefix="0" xfId="0"/>
    <xf numFmtId="0" fontId="18" fillId="2" borderId="0" applyAlignment="1" pivotButton="0" quotePrefix="0" xfId="0">
      <alignment horizontal="center" vertical="center"/>
    </xf>
  </cellXfs>
  <cellStyles count="1">
    <cellStyle name="Normal" xfId="0" builtinId="0" hidden="0"/>
  </cellStyles>
  <dxfs count="1">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showGridLines="0" workbookViewId="0">
      <selection activeCell="A1" sqref="A1"/>
    </sheetView>
  </sheetViews>
  <sheetFormatPr baseColWidth="8" defaultRowHeight="15"/>
  <cols>
    <col width="110" customWidth="1" min="1" max="1"/>
  </cols>
  <sheetData>
    <row r="1" ht="20" customHeight="1">
      <c r="A1" s="1" t="inlineStr">
        <is>
          <t>Swerdlow Multi-Phase Cockpit Model</t>
        </is>
      </c>
    </row>
    <row r="2" ht="8" customHeight="1">
      <c r="A2" s="2" t="inlineStr"/>
    </row>
    <row r="3" ht="20" customHeight="1">
      <c r="A3" s="3" t="inlineStr">
        <is>
          <t>WHAT THIS IS</t>
        </is>
      </c>
    </row>
    <row r="4" ht="30" customHeight="1">
      <c r="A4" s="2" t="inlineStr">
        <is>
          <t>Scalable input template / 'cockpit' for a multi-phase real estate development program. This pass builds the input + assumptions architecture and a single stabilized (untrended) proforma summary. No monthly CF engine, financing, or equity waterfall (explicitly out of scope, designed so they can be added later).</t>
        </is>
      </c>
    </row>
    <row r="5" ht="8" customHeight="1">
      <c r="A5" s="2" t="inlineStr"/>
    </row>
    <row r="6" ht="20" customHeight="1">
      <c r="A6" s="3" t="inlineStr">
        <is>
          <t>TABS (left to right)</t>
        </is>
      </c>
    </row>
    <row r="7" ht="30" customHeight="1">
      <c r="A7" s="2" t="inlineStr">
        <is>
          <t>Read me | Cockpit | Master Assumptions | Database | All Phases | Phase Detail | Monthly CF.  Hidden support: Lists, Archive.</t>
        </is>
      </c>
    </row>
    <row r="8" ht="8" customHeight="1">
      <c r="A8" s="2" t="inlineStr"/>
    </row>
    <row r="9" ht="20" customHeight="1">
      <c r="A9" s="3" t="inlineStr">
        <is>
          <t>OPERATING LOOP</t>
        </is>
      </c>
    </row>
    <row r="10" ht="30" customHeight="1">
      <c r="A10" s="2" t="inlineStr">
        <is>
          <t>USER edits inputs on the COCKPIT (one Phase at a time) -&gt; clicks UPDATE -&gt; a flat snapshot row is appended to the DATABASE (system of record). All Phases / Phase Detail / Monthly CF read the latest record per phase from the Database.</t>
        </is>
      </c>
    </row>
    <row r="11" ht="8" customHeight="1">
      <c r="A11" s="2" t="inlineStr"/>
    </row>
    <row r="12" ht="20" customHeight="1">
      <c r="A12" s="3" t="inlineStr">
        <is>
          <t>COLOR CODING</t>
        </is>
      </c>
    </row>
    <row r="13" ht="30" customHeight="1">
      <c r="A13" s="2" t="inlineStr">
        <is>
          <t>Blue font + light-blue fill = [INPUT] (you type here).  Black = [CALC] formula.  Green = [LINK] cross-tab reference.</t>
        </is>
      </c>
    </row>
    <row r="14" ht="8" customHeight="1">
      <c r="A14" s="2" t="inlineStr"/>
    </row>
    <row r="15" ht="20" customHeight="1">
      <c r="A15" s="4" t="inlineStr">
        <is>
          <t>** ENABLING THE MACROS (.xlsx -&gt; .xlsm) **</t>
        </is>
      </c>
    </row>
    <row r="16" ht="30" customHeight="1">
      <c r="A16" s="2" t="inlineStr">
        <is>
          <t>Pure-Python tooling cannot author Excel's compiled VBA project, so the 3 macros ship as importable text modules in the ./vba folder (UPDATE_Phase, Add_Asset, Request_Support / Validate_Inputs). To enable them:</t>
        </is>
      </c>
    </row>
    <row r="17" ht="20" customHeight="1">
      <c r="A17" s="2" t="inlineStr">
        <is>
          <t xml:space="preserve">  1. Open this .xlsx in Excel. File &gt; Save As &gt; Excel Macro-Enabled Workbook (.xlsm).</t>
        </is>
      </c>
    </row>
    <row r="18" ht="20" customHeight="1">
      <c r="A18" s="2" t="inlineStr">
        <is>
          <t xml:space="preserve">  2. Press Alt+F11 (VBA editor). File &gt; Import File... and import each .bas in ./vba.</t>
        </is>
      </c>
    </row>
    <row r="19" ht="30" customHeight="1">
      <c r="A19" s="2" t="inlineStr">
        <is>
          <t xml:space="preserve">  3. Back in Excel, Developer &gt; Insert &gt; Button (or right-click the placeholder buttons on the Cockpit control bar) and assign: UPDATE_Phase, Add_Asset, Request_Support.</t>
        </is>
      </c>
    </row>
    <row r="20" ht="20" customHeight="1">
      <c r="A20" s="2" t="inlineStr">
        <is>
          <t xml:space="preserve">  4. In Module1 set CALENDLY_URL to your real scheduling link.</t>
        </is>
      </c>
    </row>
    <row r="21" ht="8" customHeight="1">
      <c r="A21" s="2" t="inlineStr"/>
    </row>
    <row r="22" ht="20" customHeight="1">
      <c r="A22" s="3" t="inlineStr">
        <is>
          <t>KEY DESIGN DECISIONS (Section 7 of the spec)</t>
        </is>
      </c>
    </row>
    <row r="23" ht="30" customHeight="1">
      <c r="A23" s="2" t="inlineStr">
        <is>
          <t>Two master rent inputs (AMI drives LIHTC/Live Local; FMR-by-bedroom drives PBV/RAD); market rents entered directly. Untrended proforma only. Database = flat snapshot ledger, FIFO-capped at 20 (configurable via MaxRecordsPerPhase), purged rows archived. Development budget IS in scope; financing/waterfall OUT. No RE-tax abatement line. 15-row caps on unit mix and commercial rent roll.</t>
        </is>
      </c>
    </row>
    <row r="24" ht="8" customHeight="1">
      <c r="A24" s="2" t="inlineStr"/>
    </row>
    <row r="25" ht="20" customHeight="1">
      <c r="A25" s="3" t="inlineStr">
        <is>
          <t>NOTES ON DEFERRED WIRING</t>
        </is>
      </c>
    </row>
    <row r="26" ht="30" customHeight="1">
      <c r="A26" s="2" t="inlineStr">
        <is>
          <t>All Phases and Phase Detail use the MAXIFS+INDEX 'latest record per phase' pattern. Because the Database stores raw inputs (not the computed EGI/NOI), the program-level $ roll-ups recompute from those inputs; the full recompute formulas land alongside the monthly CF engine in the next pass. Cells showing '-' are intentional placeholders, labeled here rather than silently faked.</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0" summaryRight="1"/>
    <pageSetUpPr/>
  </sheetPr>
  <dimension ref="A1:S174"/>
  <sheetViews>
    <sheetView showGridLines="0" workbookViewId="0">
      <selection activeCell="A1" sqref="A1"/>
    </sheetView>
  </sheetViews>
  <sheetFormatPr baseColWidth="8" defaultRowHeight="15"/>
  <cols>
    <col width="30" customWidth="1" min="1" max="1"/>
    <col width="16" customWidth="1" min="2" max="2"/>
    <col width="16" customWidth="1" min="3" max="3"/>
    <col width="16"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c r="A1" s="5" t="inlineStr">
        <is>
          <t>COCKPIT  -  single editable surface (one Phase at a time)</t>
        </is>
      </c>
    </row>
    <row r="2">
      <c r="A2" s="6" t="inlineStr">
        <is>
          <t>Edit blue cells, then click UPDATE to save a snapshot to the Database.</t>
        </is>
      </c>
    </row>
    <row r="4">
      <c r="A4" s="7" t="inlineStr">
        <is>
          <t>Selected Phase</t>
        </is>
      </c>
      <c r="B4" s="8" t="inlineStr">
        <is>
          <t>1-2A</t>
        </is>
      </c>
      <c r="D4" s="9" t="inlineStr">
        <is>
          <t>Last updated by</t>
        </is>
      </c>
      <c r="E4" s="10">
        <f>IFERROR(INDEX(Database!$E:$E,MATCH(MAXIFS(Database!$A:$A,Database!$B:$B,SelectedPhase),Database!$A:$A,0)),"(none)")</f>
        <v/>
      </c>
      <c r="F4" s="9" t="inlineStr">
        <is>
          <t>on</t>
        </is>
      </c>
      <c r="G4" s="11">
        <f>IFERROR(INDEX(Database!$D:$D,MATCH(MAXIFS(Database!$A:$A,Database!$B:$B,SelectedPhase),Database!$A:$A,0)),"(none)")</f>
        <v/>
      </c>
      <c r="H4" s="9" t="inlineStr">
        <is>
          <t>Record #</t>
        </is>
      </c>
      <c r="I4" s="12">
        <f>IFERROR(MAXIFS(Database!$A:$A,Database!$B:$B,SelectedPhase),0)</f>
        <v/>
      </c>
    </row>
    <row r="5">
      <c r="A5" s="9" t="inlineStr">
        <is>
          <t>Notes (saved with next UPDATE)</t>
        </is>
      </c>
      <c r="B5" s="8" t="inlineStr"/>
      <c r="C5" s="13" t="n"/>
      <c r="D5" s="13" t="n"/>
      <c r="E5" s="14" t="n"/>
      <c r="G5" s="15" t="inlineStr">
        <is>
          <t>UPDATE</t>
        </is>
      </c>
      <c r="H5" s="16" t="n"/>
      <c r="I5" s="15" t="inlineStr">
        <is>
          <t>Add Asset</t>
        </is>
      </c>
      <c r="J5" s="16" t="n"/>
      <c r="K5" s="15" t="inlineStr">
        <is>
          <t>Request Support</t>
        </is>
      </c>
      <c r="L5" s="16" t="n"/>
    </row>
    <row r="6">
      <c r="A6" s="17" t="inlineStr">
        <is>
          <t>Buttons above are placeholders; assign macros after importing the .bas modules (see README).</t>
        </is>
      </c>
    </row>
    <row r="8">
      <c r="A8" s="18" t="inlineStr">
        <is>
          <t>KPI strip (computed from current Cockpit inputs)</t>
        </is>
      </c>
      <c r="B8" s="18" t="n"/>
      <c r="C8" s="19" t="n"/>
      <c r="D8" s="18" t="n"/>
      <c r="E8" s="18" t="n"/>
      <c r="F8" s="18" t="n"/>
      <c r="G8" s="18" t="n"/>
      <c r="H8" s="18" t="n"/>
      <c r="I8" s="18" t="n"/>
      <c r="J8" s="18" t="n"/>
      <c r="K8" s="18" t="n"/>
      <c r="L8" s="18" t="n"/>
      <c r="M8" s="18" t="n"/>
      <c r="N8" s="18" t="n"/>
      <c r="O8" s="18" t="n"/>
      <c r="P8" s="18" t="n"/>
      <c r="Q8" s="18" t="n"/>
      <c r="R8" s="18" t="n"/>
      <c r="S8" s="18" t="n"/>
    </row>
    <row r="9">
      <c r="A9" s="20" t="inlineStr">
        <is>
          <t>Total Units</t>
        </is>
      </c>
      <c r="B9" s="20" t="inlineStr">
        <is>
          <t>Total Res NSF</t>
        </is>
      </c>
      <c r="C9" s="20" t="inlineStr">
        <is>
          <t>EGI</t>
        </is>
      </c>
      <c r="D9" s="20" t="inlineStr">
        <is>
          <t>NOI</t>
        </is>
      </c>
      <c r="E9" s="20" t="inlineStr">
        <is>
          <t>OpEx Ratio</t>
        </is>
      </c>
      <c r="F9" s="20" t="inlineStr">
        <is>
          <t>NOI / Unit</t>
        </is>
      </c>
      <c r="G9" s="20" t="inlineStr">
        <is>
          <t>Total Dev Cost</t>
        </is>
      </c>
      <c r="H9" s="20" t="inlineStr">
        <is>
          <t>Cost / Unit</t>
        </is>
      </c>
      <c r="I9" s="20" t="inlineStr">
        <is>
          <t>Cost / GSF</t>
        </is>
      </c>
    </row>
    <row r="10">
      <c r="A10" s="21">
        <f>Units_Total</f>
        <v/>
      </c>
      <c r="B10" s="21">
        <f>ResSF_Total</f>
        <v/>
      </c>
      <c r="C10" s="22">
        <f>EGI_Annual</f>
        <v/>
      </c>
      <c r="D10" s="22">
        <f>NOI_Total</f>
        <v/>
      </c>
      <c r="E10" s="23">
        <f>OpExRatio</f>
        <v/>
      </c>
      <c r="F10" s="22">
        <f>IFERROR(NOI_Total/Units_Total,0)</f>
        <v/>
      </c>
      <c r="G10" s="22">
        <f>TotalDevCost</f>
        <v/>
      </c>
      <c r="H10" s="22">
        <f>IFERROR(TotalDevCost/Units_Total,0)</f>
        <v/>
      </c>
      <c r="I10" s="24">
        <f>IFERROR(TotalDevCost/N(B18),0)</f>
        <v/>
      </c>
    </row>
    <row r="11">
      <c r="C11" s="25" t="inlineStr">
        <is>
          <t>Saved value</t>
        </is>
      </c>
    </row>
    <row r="12">
      <c r="A12" s="18" t="inlineStr">
        <is>
          <t>(1)  Phase Identity &amp; Physical</t>
        </is>
      </c>
      <c r="B12" s="18" t="n"/>
      <c r="C12" s="18" t="n"/>
      <c r="D12" s="18" t="n"/>
      <c r="E12" s="18" t="n"/>
      <c r="F12" s="18" t="n"/>
      <c r="G12" s="18" t="n"/>
      <c r="H12" s="18" t="n"/>
      <c r="I12" s="18" t="n"/>
      <c r="J12" s="18" t="n"/>
      <c r="K12" s="18" t="n"/>
      <c r="L12" s="18" t="n"/>
      <c r="M12" s="18" t="n"/>
      <c r="N12" s="18" t="n"/>
      <c r="O12" s="18" t="n"/>
      <c r="P12" s="18" t="n"/>
      <c r="Q12" s="18" t="n"/>
      <c r="R12" s="18" t="n"/>
      <c r="S12" s="18" t="n"/>
    </row>
    <row r="13" outlineLevel="1">
      <c r="A13" s="26" t="inlineStr">
        <is>
          <t>Phase Name</t>
        </is>
      </c>
      <c r="B13" s="27" t="inlineStr">
        <is>
          <t>Site 1 - Bldg 2A</t>
        </is>
      </c>
      <c r="C13" s="28">
        <f>IFERROR(INDEX(Database!$G:$G,MATCH(MAXIFS(Database!$A:$A,Database!$B:$B,SelectedPhase),Database!$A:$A,0)),"-")</f>
        <v/>
      </c>
      <c r="D13" s="29">
        <f>IF(B13="","&lt;-- needs input","")</f>
        <v/>
      </c>
    </row>
    <row r="14" outlineLevel="1">
      <c r="A14" s="26" t="inlineStr">
        <is>
          <t>Site</t>
        </is>
      </c>
      <c r="B14" s="27" t="inlineStr">
        <is>
          <t>Site 1</t>
        </is>
      </c>
      <c r="C14" s="28">
        <f>IFERROR(INDEX(Database!$H:$H,MATCH(MAXIFS(Database!$A:$A,Database!$B:$B,SelectedPhase),Database!$A:$A,0)),"-")</f>
        <v/>
      </c>
      <c r="D14" s="29">
        <f>IF(B14="","&lt;-- needs input","")</f>
        <v/>
      </c>
    </row>
    <row r="15" outlineLevel="1">
      <c r="A15" s="26" t="inlineStr">
        <is>
          <t>Has Residential?</t>
        </is>
      </c>
      <c r="B15" s="27" t="inlineStr">
        <is>
          <t>Yes</t>
        </is>
      </c>
      <c r="C15" s="28">
        <f>IFERROR(INDEX(Database!$I:$I,MATCH(MAXIFS(Database!$A:$A,Database!$B:$B,SelectedPhase),Database!$A:$A,0)),"-")</f>
        <v/>
      </c>
    </row>
    <row r="16" outlineLevel="1">
      <c r="A16" s="26" t="inlineStr">
        <is>
          <t>Has Commercial?</t>
        </is>
      </c>
      <c r="B16" s="27" t="inlineStr">
        <is>
          <t>No</t>
        </is>
      </c>
      <c r="C16" s="28">
        <f>IFERROR(INDEX(Database!$J:$J,MATCH(MAXIFS(Database!$A:$A,Database!$B:$B,SelectedPhase),Database!$A:$A,0)),"-")</f>
        <v/>
      </c>
    </row>
    <row r="17" outlineLevel="1">
      <c r="A17" s="26" t="inlineStr">
        <is>
          <t>Stories</t>
        </is>
      </c>
      <c r="B17" s="30" t="n">
        <v>8</v>
      </c>
      <c r="C17" s="31">
        <f>IFERROR(INDEX(Database!$K:$K,MATCH(MAXIFS(Database!$A:$A,Database!$B:$B,SelectedPhase),Database!$A:$A,0)),"-")</f>
        <v/>
      </c>
    </row>
    <row r="18" outlineLevel="1">
      <c r="A18" s="26" t="inlineStr">
        <is>
          <t>Gross Building Area (GSF)</t>
        </is>
      </c>
      <c r="B18" s="30" t="n">
        <v>240000</v>
      </c>
      <c r="C18" s="31">
        <f>IFERROR(INDEX(Database!$L:$L,MATCH(MAXIFS(Database!$A:$A,Database!$B:$B,SelectedPhase),Database!$A:$A,0)),"-")</f>
        <v/>
      </c>
      <c r="D18" s="29">
        <f>IF(N(B18)=0,"&lt;-- needs input","")</f>
        <v/>
      </c>
    </row>
    <row r="19" outlineLevel="1">
      <c r="A19" s="26" t="inlineStr">
        <is>
          <t>Net Rentable Area (NSF)</t>
        </is>
      </c>
      <c r="B19" s="30" t="n">
        <v>200000</v>
      </c>
      <c r="C19" s="31">
        <f>IFERROR(INDEX(Database!$M:$M,MATCH(MAXIFS(Database!$A:$A,Database!$B:$B,SelectedPhase),Database!$A:$A,0)),"-")</f>
        <v/>
      </c>
    </row>
    <row r="20" outlineLevel="1">
      <c r="A20" s="26" t="inlineStr">
        <is>
          <t>Parking spaces</t>
        </is>
      </c>
      <c r="B20" s="30" t="n">
        <v>250</v>
      </c>
      <c r="C20" s="31">
        <f>IFERROR(INDEX(Database!$N:$N,MATCH(MAXIFS(Database!$A:$A,Database!$B:$B,SelectedPhase),Database!$A:$A,0)),"-")</f>
        <v/>
      </c>
    </row>
    <row r="21" outlineLevel="1">
      <c r="A21" s="26" t="inlineStr">
        <is>
          <t>Land area (SF)</t>
        </is>
      </c>
      <c r="B21" s="30" t="n">
        <v>60000</v>
      </c>
      <c r="C21" s="31">
        <f>IFERROR(INDEX(Database!$O:$O,MATCH(MAXIFS(Database!$A:$A,Database!$B:$B,SelectedPhase),Database!$A:$A,0)),"-")</f>
        <v/>
      </c>
    </row>
    <row r="22" outlineLevel="1">
      <c r="A22" s="26" t="inlineStr">
        <is>
          <t>Parking ratio (per unit)</t>
        </is>
      </c>
      <c r="B22" s="32">
        <f>IFERROR(B20/Units_Total,0)</f>
        <v/>
      </c>
    </row>
    <row r="23">
      <c r="A23" s="18" t="inlineStr">
        <is>
          <t>(2)  Key Dates &amp; Lease-Up (Exhibit F)</t>
        </is>
      </c>
      <c r="B23" s="18" t="n"/>
      <c r="C23" s="18" t="n"/>
      <c r="D23" s="18" t="n"/>
      <c r="E23" s="18" t="n"/>
      <c r="F23" s="18" t="n"/>
      <c r="G23" s="18" t="n"/>
      <c r="H23" s="18" t="n"/>
      <c r="I23" s="18" t="n"/>
      <c r="J23" s="18" t="n"/>
      <c r="K23" s="18" t="n"/>
      <c r="L23" s="18" t="n"/>
      <c r="M23" s="18" t="n"/>
      <c r="N23" s="18" t="n"/>
      <c r="O23" s="18" t="n"/>
      <c r="P23" s="18" t="n"/>
      <c r="Q23" s="18" t="n"/>
      <c r="R23" s="18" t="n"/>
      <c r="S23" s="18" t="n"/>
    </row>
    <row r="24" outlineLevel="1">
      <c r="A24" s="26" t="inlineStr">
        <is>
          <t>Closing date</t>
        </is>
      </c>
      <c r="B24" s="33" t="n">
        <v>46023</v>
      </c>
      <c r="C24" s="34">
        <f>IFERROR(INDEX(Database!$P:$P,MATCH(MAXIFS(Database!$A:$A,Database!$B:$B,SelectedPhase),Database!$A:$A,0)),"-")</f>
        <v/>
      </c>
      <c r="D24" s="29">
        <f>IF(B24="","&lt;-- needs input","")</f>
        <v/>
      </c>
    </row>
    <row r="25" outlineLevel="1">
      <c r="A25" s="26" t="inlineStr">
        <is>
          <t>Construction Start  (month offset)</t>
        </is>
      </c>
      <c r="B25" s="30" t="n">
        <v>2</v>
      </c>
      <c r="C25" s="35">
        <f>EDATE(B24,B25)</f>
        <v/>
      </c>
      <c r="D25" s="36" t="inlineStr">
        <is>
          <t>abs. date</t>
        </is>
      </c>
    </row>
    <row r="26" outlineLevel="1">
      <c r="A26" s="26" t="inlineStr">
        <is>
          <t>Initial Occupancy  (month offset)</t>
        </is>
      </c>
      <c r="B26" s="30" t="n">
        <v>14</v>
      </c>
      <c r="C26" s="35">
        <f>EDATE(B24,B26)</f>
        <v/>
      </c>
      <c r="D26" s="36" t="inlineStr">
        <is>
          <t>abs. date</t>
        </is>
      </c>
    </row>
    <row r="27" outlineLevel="1">
      <c r="A27" s="26" t="inlineStr">
        <is>
          <t>Construction End  (month offset)</t>
        </is>
      </c>
      <c r="B27" s="30" t="n">
        <v>20</v>
      </c>
      <c r="C27" s="35">
        <f>EDATE(B24,B27)</f>
        <v/>
      </c>
      <c r="D27" s="36" t="inlineStr">
        <is>
          <t>abs. date</t>
        </is>
      </c>
    </row>
    <row r="28" outlineLevel="1">
      <c r="A28" s="26" t="inlineStr">
        <is>
          <t>Stabilization  (month offset)</t>
        </is>
      </c>
      <c r="B28" s="30" t="n">
        <v>30</v>
      </c>
      <c r="C28" s="35">
        <f>EDATE(B24,B28)</f>
        <v/>
      </c>
      <c r="D28" s="36" t="inlineStr">
        <is>
          <t>abs. date</t>
        </is>
      </c>
    </row>
    <row r="29" outlineLevel="1">
      <c r="A29" s="26" t="inlineStr">
        <is>
          <t>Exit  (month offset)</t>
        </is>
      </c>
      <c r="B29" s="30" t="n">
        <v>84</v>
      </c>
      <c r="C29" s="35">
        <f>EDATE(B24,B29)</f>
        <v/>
      </c>
      <c r="D29" s="36" t="inlineStr">
        <is>
          <t>abs. date</t>
        </is>
      </c>
    </row>
    <row r="30" outlineLevel="1">
      <c r="A30" s="26" t="inlineStr">
        <is>
          <t>Preleased units</t>
        </is>
      </c>
      <c r="B30" s="30" t="n">
        <v>20</v>
      </c>
      <c r="C30" s="31">
        <f>IFERROR(INDEX(Database!$V:$V,MATCH(MAXIFS(Database!$A:$A,Database!$B:$B,SelectedPhase),Database!$A:$A,0)),"-")</f>
        <v/>
      </c>
    </row>
    <row r="31" outlineLevel="1">
      <c r="A31" s="26" t="inlineStr">
        <is>
          <t>Preleased %</t>
        </is>
      </c>
      <c r="B31" s="37">
        <f>IFERROR(B30/Units_Total,0)</f>
        <v/>
      </c>
    </row>
    <row r="32" outlineLevel="1">
      <c r="A32" s="26" t="inlineStr">
        <is>
          <t>Lease-up pace (units/month)</t>
        </is>
      </c>
      <c r="B32" s="30" t="n">
        <v>15</v>
      </c>
      <c r="C32" s="31">
        <f>IFERROR(INDEX(Database!$W:$W,MATCH(MAXIFS(Database!$A:$A,Database!$B:$B,SelectedPhase),Database!$A:$A,0)),"-")</f>
        <v/>
      </c>
    </row>
    <row r="33" outlineLevel="1">
      <c r="A33" s="26" t="inlineStr">
        <is>
          <t>Initial delivery units</t>
        </is>
      </c>
      <c r="B33" s="30" t="n">
        <v>60</v>
      </c>
      <c r="C33" s="31">
        <f>IFERROR(INDEX(Database!$X:$X,MATCH(MAXIFS(Database!$A:$A,Database!$B:$B,SelectedPhase),Database!$A:$A,0)),"-")</f>
        <v/>
      </c>
    </row>
    <row r="34" outlineLevel="1">
      <c r="A34" s="26" t="inlineStr">
        <is>
          <t>Duration of lease-up to stabilization (mo)</t>
        </is>
      </c>
      <c r="B34" s="38">
        <f>IFERROR(MAX(0,(Units_Total-B30)/MAX(LeaseUpPace_in,1)),0)</f>
        <v/>
      </c>
    </row>
    <row r="35">
      <c r="A35" s="18" t="inlineStr">
        <is>
          <t>(3)  Residential Unit Mix (Exhibit A)  -  15 rows</t>
        </is>
      </c>
      <c r="B35" s="18" t="n"/>
      <c r="C35" s="18" t="n"/>
      <c r="D35" s="18" t="n"/>
      <c r="E35" s="18" t="n"/>
      <c r="F35" s="18" t="n"/>
      <c r="G35" s="18" t="n"/>
      <c r="H35" s="18" t="n"/>
      <c r="I35" s="18" t="n"/>
      <c r="J35" s="18" t="n"/>
      <c r="K35" s="18" t="n"/>
      <c r="L35" s="18" t="n"/>
      <c r="M35" s="18" t="n"/>
      <c r="N35" s="18" t="n"/>
      <c r="O35" s="18" t="n"/>
      <c r="P35" s="18" t="n"/>
      <c r="Q35" s="18" t="n"/>
      <c r="R35" s="18" t="n"/>
      <c r="S35" s="18" t="n"/>
    </row>
    <row r="36" outlineLevel="1">
      <c r="A36" s="39" t="inlineStr">
        <is>
          <t>Bedroom Type</t>
        </is>
      </c>
      <c r="B36" s="39" t="inlineStr">
        <is>
          <t>Rent Basis</t>
        </is>
      </c>
      <c r="C36" s="39" t="inlineStr">
        <is>
          <t>Units</t>
        </is>
      </c>
      <c r="D36" s="39" t="inlineStr">
        <is>
          <t>Avg SF</t>
        </is>
      </c>
      <c r="E36" s="39" t="inlineStr">
        <is>
          <t>Mkt Rent override</t>
        </is>
      </c>
      <c r="F36" s="39" t="inlineStr">
        <is>
          <t>Rent/unit/mo</t>
        </is>
      </c>
      <c r="G36" s="39" t="inlineStr">
        <is>
          <t>Total SF</t>
        </is>
      </c>
      <c r="H36" s="39" t="inlineStr">
        <is>
          <t>% Units</t>
        </is>
      </c>
      <c r="I36" s="39" t="inlineStr">
        <is>
          <t>% of Tot SF</t>
        </is>
      </c>
      <c r="J36" s="39" t="inlineStr">
        <is>
          <t>Total Rent/mo</t>
        </is>
      </c>
      <c r="K36" s="39" t="inlineStr">
        <is>
          <t>Rent PSF</t>
        </is>
      </c>
    </row>
    <row r="37" outlineLevel="1">
      <c r="A37" s="40" t="inlineStr">
        <is>
          <t>Studio</t>
        </is>
      </c>
      <c r="B37" s="40" t="inlineStr">
        <is>
          <t>Market</t>
        </is>
      </c>
      <c r="C37" s="30" t="n">
        <v>10</v>
      </c>
      <c r="D37" s="30" t="n">
        <v>520</v>
      </c>
      <c r="E37" s="41" t="n">
        <v>2100</v>
      </c>
      <c r="F37" s="42">
        <f>IFERROR(IF($C37="",0,IF($B37="Market",$E37,INDEX(DerivRent_Matrix,MATCH($A37,DerivRent_Beds,0),MATCH($B37,DerivRent_Bases,0)))),0)</f>
        <v/>
      </c>
      <c r="G37" s="43">
        <f>N($C37)*N($D37)</f>
        <v/>
      </c>
      <c r="H37" s="37">
        <f>IFERROR($C37/Units_Total,0)</f>
        <v/>
      </c>
      <c r="I37" s="37">
        <f>IFERROR($G37/ResSF_Total,0)</f>
        <v/>
      </c>
      <c r="J37" s="44">
        <f>N($C37)*N($F37)</f>
        <v/>
      </c>
      <c r="K37" s="42">
        <f>IFERROR($J37/$C37/$D37,0)</f>
        <v/>
      </c>
    </row>
    <row r="38" outlineLevel="1">
      <c r="A38" s="40" t="inlineStr"/>
      <c r="B38" s="40" t="inlineStr"/>
      <c r="C38" s="30" t="inlineStr"/>
      <c r="D38" s="30" t="inlineStr"/>
      <c r="E38" s="41" t="inlineStr"/>
      <c r="F38" s="42">
        <f>IFERROR(IF($C38="",0,IF($B38="Market",$E38,INDEX(DerivRent_Matrix,MATCH($A38,DerivRent_Beds,0),MATCH($B38,DerivRent_Bases,0)))),0)</f>
        <v/>
      </c>
      <c r="G38" s="43">
        <f>N($C38)*N($D38)</f>
        <v/>
      </c>
      <c r="H38" s="37">
        <f>IFERROR($C38/Units_Total,0)</f>
        <v/>
      </c>
      <c r="I38" s="37">
        <f>IFERROR($G38/ResSF_Total,0)</f>
        <v/>
      </c>
      <c r="J38" s="44">
        <f>N($C38)*N($F38)</f>
        <v/>
      </c>
      <c r="K38" s="42">
        <f>IFERROR($J38/$C38/$D38,0)</f>
        <v/>
      </c>
    </row>
    <row r="39" outlineLevel="1">
      <c r="A39" s="40" t="inlineStr"/>
      <c r="B39" s="40" t="inlineStr"/>
      <c r="C39" s="30" t="inlineStr"/>
      <c r="D39" s="30" t="inlineStr"/>
      <c r="E39" s="41" t="inlineStr"/>
      <c r="F39" s="42">
        <f>IFERROR(IF($C39="",0,IF($B39="Market",$E39,INDEX(DerivRent_Matrix,MATCH($A39,DerivRent_Beds,0),MATCH($B39,DerivRent_Bases,0)))),0)</f>
        <v/>
      </c>
      <c r="G39" s="43">
        <f>N($C39)*N($D39)</f>
        <v/>
      </c>
      <c r="H39" s="37">
        <f>IFERROR($C39/Units_Total,0)</f>
        <v/>
      </c>
      <c r="I39" s="37">
        <f>IFERROR($G39/ResSF_Total,0)</f>
        <v/>
      </c>
      <c r="J39" s="44">
        <f>N($C39)*N($F39)</f>
        <v/>
      </c>
      <c r="K39" s="42">
        <f>IFERROR($J39/$C39/$D39,0)</f>
        <v/>
      </c>
    </row>
    <row r="40" outlineLevel="1">
      <c r="A40" s="40" t="inlineStr"/>
      <c r="B40" s="40" t="inlineStr"/>
      <c r="C40" s="30" t="inlineStr"/>
      <c r="D40" s="30" t="inlineStr"/>
      <c r="E40" s="41" t="inlineStr"/>
      <c r="F40" s="42">
        <f>IFERROR(IF($C40="",0,IF($B40="Market",$E40,INDEX(DerivRent_Matrix,MATCH($A40,DerivRent_Beds,0),MATCH($B40,DerivRent_Bases,0)))),0)</f>
        <v/>
      </c>
      <c r="G40" s="43">
        <f>N($C40)*N($D40)</f>
        <v/>
      </c>
      <c r="H40" s="37">
        <f>IFERROR($C40/Units_Total,0)</f>
        <v/>
      </c>
      <c r="I40" s="37">
        <f>IFERROR($G40/ResSF_Total,0)</f>
        <v/>
      </c>
      <c r="J40" s="44">
        <f>N($C40)*N($F40)</f>
        <v/>
      </c>
      <c r="K40" s="42">
        <f>IFERROR($J40/$C40/$D40,0)</f>
        <v/>
      </c>
    </row>
    <row r="41" outlineLevel="1">
      <c r="A41" s="40" t="inlineStr"/>
      <c r="B41" s="40" t="inlineStr"/>
      <c r="C41" s="30" t="inlineStr"/>
      <c r="D41" s="30" t="inlineStr"/>
      <c r="E41" s="41" t="inlineStr"/>
      <c r="F41" s="42">
        <f>IFERROR(IF($C41="",0,IF($B41="Market",$E41,INDEX(DerivRent_Matrix,MATCH($A41,DerivRent_Beds,0),MATCH($B41,DerivRent_Bases,0)))),0)</f>
        <v/>
      </c>
      <c r="G41" s="43">
        <f>N($C41)*N($D41)</f>
        <v/>
      </c>
      <c r="H41" s="37">
        <f>IFERROR($C41/Units_Total,0)</f>
        <v/>
      </c>
      <c r="I41" s="37">
        <f>IFERROR($G41/ResSF_Total,0)</f>
        <v/>
      </c>
      <c r="J41" s="44">
        <f>N($C41)*N($F41)</f>
        <v/>
      </c>
      <c r="K41" s="42">
        <f>IFERROR($J41/$C41/$D41,0)</f>
        <v/>
      </c>
    </row>
    <row r="42" outlineLevel="1">
      <c r="A42" s="40" t="inlineStr"/>
      <c r="B42" s="40" t="inlineStr"/>
      <c r="C42" s="30" t="inlineStr"/>
      <c r="D42" s="30" t="inlineStr"/>
      <c r="E42" s="41" t="inlineStr"/>
      <c r="F42" s="42">
        <f>IFERROR(IF($C42="",0,IF($B42="Market",$E42,INDEX(DerivRent_Matrix,MATCH($A42,DerivRent_Beds,0),MATCH($B42,DerivRent_Bases,0)))),0)</f>
        <v/>
      </c>
      <c r="G42" s="43">
        <f>N($C42)*N($D42)</f>
        <v/>
      </c>
      <c r="H42" s="37">
        <f>IFERROR($C42/Units_Total,0)</f>
        <v/>
      </c>
      <c r="I42" s="37">
        <f>IFERROR($G42/ResSF_Total,0)</f>
        <v/>
      </c>
      <c r="J42" s="44">
        <f>N($C42)*N($F42)</f>
        <v/>
      </c>
      <c r="K42" s="42">
        <f>IFERROR($J42/$C42/$D42,0)</f>
        <v/>
      </c>
    </row>
    <row r="43" outlineLevel="1">
      <c r="A43" s="40" t="inlineStr"/>
      <c r="B43" s="40" t="inlineStr"/>
      <c r="C43" s="30" t="inlineStr"/>
      <c r="D43" s="30" t="inlineStr"/>
      <c r="E43" s="41" t="inlineStr"/>
      <c r="F43" s="42">
        <f>IFERROR(IF($C43="",0,IF($B43="Market",$E43,INDEX(DerivRent_Matrix,MATCH($A43,DerivRent_Beds,0),MATCH($B43,DerivRent_Bases,0)))),0)</f>
        <v/>
      </c>
      <c r="G43" s="43">
        <f>N($C43)*N($D43)</f>
        <v/>
      </c>
      <c r="H43" s="37">
        <f>IFERROR($C43/Units_Total,0)</f>
        <v/>
      </c>
      <c r="I43" s="37">
        <f>IFERROR($G43/ResSF_Total,0)</f>
        <v/>
      </c>
      <c r="J43" s="44">
        <f>N($C43)*N($F43)</f>
        <v/>
      </c>
      <c r="K43" s="42">
        <f>IFERROR($J43/$C43/$D43,0)</f>
        <v/>
      </c>
    </row>
    <row r="44" outlineLevel="1">
      <c r="A44" s="40" t="inlineStr"/>
      <c r="B44" s="40" t="inlineStr"/>
      <c r="C44" s="30" t="inlineStr"/>
      <c r="D44" s="30" t="inlineStr"/>
      <c r="E44" s="41" t="inlineStr"/>
      <c r="F44" s="42">
        <f>IFERROR(IF($C44="",0,IF($B44="Market",$E44,INDEX(DerivRent_Matrix,MATCH($A44,DerivRent_Beds,0),MATCH($B44,DerivRent_Bases,0)))),0)</f>
        <v/>
      </c>
      <c r="G44" s="43">
        <f>N($C44)*N($D44)</f>
        <v/>
      </c>
      <c r="H44" s="37">
        <f>IFERROR($C44/Units_Total,0)</f>
        <v/>
      </c>
      <c r="I44" s="37">
        <f>IFERROR($G44/ResSF_Total,0)</f>
        <v/>
      </c>
      <c r="J44" s="44">
        <f>N($C44)*N($F44)</f>
        <v/>
      </c>
      <c r="K44" s="42">
        <f>IFERROR($J44/$C44/$D44,0)</f>
        <v/>
      </c>
    </row>
    <row r="45" outlineLevel="1">
      <c r="A45" s="40" t="inlineStr"/>
      <c r="B45" s="40" t="inlineStr"/>
      <c r="C45" s="30" t="inlineStr"/>
      <c r="D45" s="30" t="inlineStr"/>
      <c r="E45" s="41" t="inlineStr"/>
      <c r="F45" s="42">
        <f>IFERROR(IF($C45="",0,IF($B45="Market",$E45,INDEX(DerivRent_Matrix,MATCH($A45,DerivRent_Beds,0),MATCH($B45,DerivRent_Bases,0)))),0)</f>
        <v/>
      </c>
      <c r="G45" s="43">
        <f>N($C45)*N($D45)</f>
        <v/>
      </c>
      <c r="H45" s="37">
        <f>IFERROR($C45/Units_Total,0)</f>
        <v/>
      </c>
      <c r="I45" s="37">
        <f>IFERROR($G45/ResSF_Total,0)</f>
        <v/>
      </c>
      <c r="J45" s="44">
        <f>N($C45)*N($F45)</f>
        <v/>
      </c>
      <c r="K45" s="42">
        <f>IFERROR($J45/$C45/$D45,0)</f>
        <v/>
      </c>
    </row>
    <row r="46" outlineLevel="1">
      <c r="A46" s="40" t="inlineStr"/>
      <c r="B46" s="40" t="inlineStr"/>
      <c r="C46" s="30" t="inlineStr"/>
      <c r="D46" s="30" t="inlineStr"/>
      <c r="E46" s="41" t="inlineStr"/>
      <c r="F46" s="42">
        <f>IFERROR(IF($C46="",0,IF($B46="Market",$E46,INDEX(DerivRent_Matrix,MATCH($A46,DerivRent_Beds,0),MATCH($B46,DerivRent_Bases,0)))),0)</f>
        <v/>
      </c>
      <c r="G46" s="43">
        <f>N($C46)*N($D46)</f>
        <v/>
      </c>
      <c r="H46" s="37">
        <f>IFERROR($C46/Units_Total,0)</f>
        <v/>
      </c>
      <c r="I46" s="37">
        <f>IFERROR($G46/ResSF_Total,0)</f>
        <v/>
      </c>
      <c r="J46" s="44">
        <f>N($C46)*N($F46)</f>
        <v/>
      </c>
      <c r="K46" s="42">
        <f>IFERROR($J46/$C46/$D46,0)</f>
        <v/>
      </c>
    </row>
    <row r="47" outlineLevel="1">
      <c r="A47" s="40" t="inlineStr"/>
      <c r="B47" s="40" t="inlineStr"/>
      <c r="C47" s="30" t="inlineStr"/>
      <c r="D47" s="30" t="inlineStr"/>
      <c r="E47" s="41" t="inlineStr"/>
      <c r="F47" s="42">
        <f>IFERROR(IF($C47="",0,IF($B47="Market",$E47,INDEX(DerivRent_Matrix,MATCH($A47,DerivRent_Beds,0),MATCH($B47,DerivRent_Bases,0)))),0)</f>
        <v/>
      </c>
      <c r="G47" s="43">
        <f>N($C47)*N($D47)</f>
        <v/>
      </c>
      <c r="H47" s="37">
        <f>IFERROR($C47/Units_Total,0)</f>
        <v/>
      </c>
      <c r="I47" s="37">
        <f>IFERROR($G47/ResSF_Total,0)</f>
        <v/>
      </c>
      <c r="J47" s="44">
        <f>N($C47)*N($F47)</f>
        <v/>
      </c>
      <c r="K47" s="42">
        <f>IFERROR($J47/$C47/$D47,0)</f>
        <v/>
      </c>
    </row>
    <row r="48" outlineLevel="1">
      <c r="A48" s="40" t="inlineStr"/>
      <c r="B48" s="40" t="inlineStr"/>
      <c r="C48" s="30" t="inlineStr"/>
      <c r="D48" s="30" t="inlineStr"/>
      <c r="E48" s="41" t="inlineStr"/>
      <c r="F48" s="42">
        <f>IFERROR(IF($C48="",0,IF($B48="Market",$E48,INDEX(DerivRent_Matrix,MATCH($A48,DerivRent_Beds,0),MATCH($B48,DerivRent_Bases,0)))),0)</f>
        <v/>
      </c>
      <c r="G48" s="43">
        <f>N($C48)*N($D48)</f>
        <v/>
      </c>
      <c r="H48" s="37">
        <f>IFERROR($C48/Units_Total,0)</f>
        <v/>
      </c>
      <c r="I48" s="37">
        <f>IFERROR($G48/ResSF_Total,0)</f>
        <v/>
      </c>
      <c r="J48" s="44">
        <f>N($C48)*N($F48)</f>
        <v/>
      </c>
      <c r="K48" s="42">
        <f>IFERROR($J48/$C48/$D48,0)</f>
        <v/>
      </c>
    </row>
    <row r="49" outlineLevel="1">
      <c r="A49" s="40" t="inlineStr"/>
      <c r="B49" s="40" t="inlineStr"/>
      <c r="C49" s="30" t="inlineStr"/>
      <c r="D49" s="30" t="inlineStr"/>
      <c r="E49" s="41" t="inlineStr"/>
      <c r="F49" s="42">
        <f>IFERROR(IF($C49="",0,IF($B49="Market",$E49,INDEX(DerivRent_Matrix,MATCH($A49,DerivRent_Beds,0),MATCH($B49,DerivRent_Bases,0)))),0)</f>
        <v/>
      </c>
      <c r="G49" s="43">
        <f>N($C49)*N($D49)</f>
        <v/>
      </c>
      <c r="H49" s="37">
        <f>IFERROR($C49/Units_Total,0)</f>
        <v/>
      </c>
      <c r="I49" s="37">
        <f>IFERROR($G49/ResSF_Total,0)</f>
        <v/>
      </c>
      <c r="J49" s="44">
        <f>N($C49)*N($F49)</f>
        <v/>
      </c>
      <c r="K49" s="42">
        <f>IFERROR($J49/$C49/$D49,0)</f>
        <v/>
      </c>
    </row>
    <row r="50" outlineLevel="1">
      <c r="A50" s="40" t="inlineStr"/>
      <c r="B50" s="40" t="inlineStr"/>
      <c r="C50" s="30" t="inlineStr"/>
      <c r="D50" s="30" t="inlineStr"/>
      <c r="E50" s="41" t="inlineStr"/>
      <c r="F50" s="42">
        <f>IFERROR(IF($C50="",0,IF($B50="Market",$E50,INDEX(DerivRent_Matrix,MATCH($A50,DerivRent_Beds,0),MATCH($B50,DerivRent_Bases,0)))),0)</f>
        <v/>
      </c>
      <c r="G50" s="43">
        <f>N($C50)*N($D50)</f>
        <v/>
      </c>
      <c r="H50" s="37">
        <f>IFERROR($C50/Units_Total,0)</f>
        <v/>
      </c>
      <c r="I50" s="37">
        <f>IFERROR($G50/ResSF_Total,0)</f>
        <v/>
      </c>
      <c r="J50" s="44">
        <f>N($C50)*N($F50)</f>
        <v/>
      </c>
      <c r="K50" s="42">
        <f>IFERROR($J50/$C50/$D50,0)</f>
        <v/>
      </c>
    </row>
    <row r="51" outlineLevel="1">
      <c r="A51" s="40" t="inlineStr"/>
      <c r="B51" s="40" t="inlineStr"/>
      <c r="C51" s="30" t="inlineStr"/>
      <c r="D51" s="30" t="inlineStr"/>
      <c r="E51" s="41" t="inlineStr"/>
      <c r="F51" s="42">
        <f>IFERROR(IF($C51="",0,IF($B51="Market",$E51,INDEX(DerivRent_Matrix,MATCH($A51,DerivRent_Beds,0),MATCH($B51,DerivRent_Bases,0)))),0)</f>
        <v/>
      </c>
      <c r="G51" s="43">
        <f>N($C51)*N($D51)</f>
        <v/>
      </c>
      <c r="H51" s="37">
        <f>IFERROR($C51/Units_Total,0)</f>
        <v/>
      </c>
      <c r="I51" s="37">
        <f>IFERROR($G51/ResSF_Total,0)</f>
        <v/>
      </c>
      <c r="J51" s="44">
        <f>N($C51)*N($F51)</f>
        <v/>
      </c>
      <c r="K51" s="42">
        <f>IFERROR($J51/$C51/$D51,0)</f>
        <v/>
      </c>
    </row>
    <row r="52" outlineLevel="1">
      <c r="A52" s="45" t="inlineStr">
        <is>
          <t>Total / Blended (all)</t>
        </is>
      </c>
      <c r="B52" s="46" t="n"/>
      <c r="C52" s="47">
        <f>SUM(UM_Units)</f>
        <v/>
      </c>
      <c r="D52" s="47">
        <f>IFERROR(G52/C52,0)</f>
        <v/>
      </c>
      <c r="E52" s="48">
        <f>IFERROR(J52/C52,0)</f>
        <v/>
      </c>
      <c r="G52" s="47">
        <f>SUM(UM_TotSF)</f>
        <v/>
      </c>
      <c r="H52" s="49">
        <f>IFERROR(C52/Units_Total,0)</f>
        <v/>
      </c>
      <c r="I52" s="49">
        <f>IFERROR(G52/ResSF_Total,0)</f>
        <v/>
      </c>
      <c r="J52" s="50">
        <f>SUM(UM_TotRent)</f>
        <v/>
      </c>
      <c r="K52" s="48">
        <f>IFERROR(J52/G52,0)</f>
        <v/>
      </c>
    </row>
    <row r="53" outlineLevel="1">
      <c r="A53" s="45" t="inlineStr">
        <is>
          <t>Affordable subtotal</t>
        </is>
      </c>
      <c r="B53" s="46" t="n"/>
      <c r="C53" s="47">
        <f>SUM(SUMIFS(UM_Units,UM_Basis,{"Live Local";"LIHTC";"PBV";"RAD"}))</f>
        <v/>
      </c>
      <c r="D53" s="47">
        <f>IFERROR(G53/C53,0)</f>
        <v/>
      </c>
      <c r="E53" s="48">
        <f>IFERROR(J53/C53,0)</f>
        <v/>
      </c>
      <c r="G53" s="47">
        <f>SUM(SUMIFS(UM_TotSF,UM_Basis,{"Live Local";"LIHTC";"PBV";"RAD"}))</f>
        <v/>
      </c>
      <c r="H53" s="49">
        <f>IFERROR(C53/Units_Total,0)</f>
        <v/>
      </c>
      <c r="I53" s="49">
        <f>IFERROR(G53/ResSF_Total,0)</f>
        <v/>
      </c>
      <c r="J53" s="50">
        <f>SUM(SUMIFS(UM_TotRent,UM_Basis,{"Live Local";"LIHTC";"PBV";"RAD"}))</f>
        <v/>
      </c>
      <c r="K53" s="48">
        <f>IFERROR(J53/G53,0)</f>
        <v/>
      </c>
    </row>
    <row r="54" outlineLevel="1">
      <c r="A54" s="45" t="inlineStr">
        <is>
          <t>Market subtotal</t>
        </is>
      </c>
      <c r="B54" s="46" t="n"/>
      <c r="C54" s="47">
        <f>SUM(SUMIFS(UM_Units,UM_Basis,{"Market"}))</f>
        <v/>
      </c>
      <c r="D54" s="47">
        <f>IFERROR(G54/C54,0)</f>
        <v/>
      </c>
      <c r="E54" s="48">
        <f>IFERROR(J54/C54,0)</f>
        <v/>
      </c>
      <c r="G54" s="47">
        <f>SUM(SUMIFS(UM_TotSF,UM_Basis,{"Market"}))</f>
        <v/>
      </c>
      <c r="H54" s="49">
        <f>IFERROR(C54/Units_Total,0)</f>
        <v/>
      </c>
      <c r="I54" s="49">
        <f>IFERROR(G54/ResSF_Total,0)</f>
        <v/>
      </c>
      <c r="J54" s="50">
        <f>SUM(SUMIFS(UM_TotRent,UM_Basis,{"Market"}))</f>
        <v/>
      </c>
      <c r="K54" s="48">
        <f>IFERROR(J54/G54,0)</f>
        <v/>
      </c>
    </row>
    <row r="55">
      <c r="A55" s="18" t="inlineStr">
        <is>
          <t>(4)  Other Residential Revenue (Exhibit C)</t>
        </is>
      </c>
      <c r="B55" s="18" t="n"/>
      <c r="C55" s="18" t="n"/>
      <c r="D55" s="18" t="n"/>
      <c r="E55" s="18" t="n"/>
      <c r="F55" s="18" t="n"/>
      <c r="G55" s="18" t="n"/>
      <c r="H55" s="18" t="n"/>
      <c r="I55" s="18" t="n"/>
      <c r="J55" s="18" t="n"/>
      <c r="K55" s="18" t="n"/>
      <c r="L55" s="18" t="n"/>
      <c r="M55" s="18" t="n"/>
      <c r="N55" s="18" t="n"/>
      <c r="O55" s="18" t="n"/>
      <c r="P55" s="18" t="n"/>
      <c r="Q55" s="18" t="n"/>
      <c r="R55" s="18" t="n"/>
      <c r="S55" s="18" t="n"/>
    </row>
    <row r="56" outlineLevel="1">
      <c r="A56" s="26" t="inlineStr">
        <is>
          <t>Annual Turnover Rate</t>
        </is>
      </c>
      <c r="B56" s="51" t="n">
        <v>0.5</v>
      </c>
      <c r="C56" s="52">
        <f>IFERROR(INDEX(Database!$CV:$CV,MATCH(MAXIFS(Database!$A:$A,Database!$B:$B,SelectedPhase),Database!$A:$A,0)),"-")</f>
        <v/>
      </c>
    </row>
    <row r="57" outlineLevel="1">
      <c r="A57" s="26" t="inlineStr">
        <is>
          <t>Units turned / month</t>
        </is>
      </c>
      <c r="B57" s="38">
        <f>IFERROR(Units_Total*N(B56)/12,0)</f>
        <v/>
      </c>
    </row>
    <row r="58" outlineLevel="1">
      <c r="A58" s="26" t="inlineStr">
        <is>
          <t>Vacancy Loss % (of GPR)</t>
        </is>
      </c>
      <c r="B58" s="51" t="n">
        <v>0.05</v>
      </c>
      <c r="C58" s="52">
        <f>IFERROR(INDEX(Database!$CW:$CW,MATCH(MAXIFS(Database!$A:$A,Database!$B:$B,SelectedPhase),Database!$A:$A,0)),"-")</f>
        <v/>
      </c>
    </row>
    <row r="59" outlineLevel="1">
      <c r="A59" s="26" t="inlineStr">
        <is>
          <t>Collection Loss % (of net GPR)</t>
        </is>
      </c>
      <c r="B59" s="51" t="n">
        <v>0.005</v>
      </c>
      <c r="C59" s="52">
        <f>IFERROR(INDEX(Database!$CX:$CX,MATCH(MAXIFS(Database!$A:$A,Database!$B:$B,SelectedPhase),Database!$A:$A,0)),"-")</f>
        <v/>
      </c>
    </row>
    <row r="60" outlineLevel="1">
      <c r="A60" s="26" t="inlineStr">
        <is>
          <t>Model Units</t>
        </is>
      </c>
      <c r="B60" s="30" t="n">
        <v>1</v>
      </c>
      <c r="C60" s="31">
        <f>IFERROR(INDEX(Database!$CY:$CY,MATCH(MAXIFS(Database!$A:$A,Database!$B:$B,SelectedPhase),Database!$A:$A,0)),"-")</f>
        <v/>
      </c>
    </row>
    <row r="61" outlineLevel="1">
      <c r="A61" s="26" t="inlineStr">
        <is>
          <t>Non-Revenue Units</t>
        </is>
      </c>
      <c r="B61" s="30" t="n">
        <v>1</v>
      </c>
      <c r="C61" s="31">
        <f>IFERROR(INDEX(Database!$CZ:$CZ,MATCH(MAXIFS(Database!$A:$A,Database!$B:$B,SelectedPhase),Database!$A:$A,0)),"-")</f>
        <v/>
      </c>
    </row>
    <row r="62" outlineLevel="1">
      <c r="A62" s="26" t="inlineStr">
        <is>
          <t>Non-revenue rent discount %</t>
        </is>
      </c>
      <c r="B62" s="51" t="n">
        <v>1</v>
      </c>
      <c r="C62" s="52">
        <f>IFERROR(INDEX(Database!$DA:$DA,MATCH(MAXIFS(Database!$A:$A,Database!$B:$B,SelectedPhase),Database!$A:$A,0)),"-")</f>
        <v/>
      </c>
    </row>
    <row r="63" outlineLevel="1">
      <c r="A63" s="26" t="inlineStr">
        <is>
          <t>Lease-up concessions: months</t>
        </is>
      </c>
      <c r="B63" s="53" t="n">
        <v>1</v>
      </c>
      <c r="C63" s="54">
        <f>IFERROR(INDEX(Database!$DB:$DB,MATCH(MAXIFS(Database!$A:$A,Database!$B:$B,SelectedPhase),Database!$A:$A,0)),"-")</f>
        <v/>
      </c>
    </row>
    <row r="64" outlineLevel="1">
      <c r="A64" s="26" t="inlineStr">
        <is>
          <t>Lease-up concessions: % of leases</t>
        </is>
      </c>
      <c r="B64" s="51" t="n">
        <v>0.5</v>
      </c>
      <c r="C64" s="52">
        <f>IFERROR(INDEX(Database!$DC:$DC,MATCH(MAXIFS(Database!$A:$A,Database!$B:$B,SelectedPhase),Database!$A:$A,0)),"-")</f>
        <v/>
      </c>
    </row>
    <row r="65" outlineLevel="1">
      <c r="A65" s="26" t="inlineStr">
        <is>
          <t>Stabilized concessions: months</t>
        </is>
      </c>
      <c r="B65" s="53" t="n">
        <v>0.5</v>
      </c>
      <c r="C65" s="54">
        <f>IFERROR(INDEX(Database!$DD:$DD,MATCH(MAXIFS(Database!$A:$A,Database!$B:$B,SelectedPhase),Database!$A:$A,0)),"-")</f>
        <v/>
      </c>
    </row>
    <row r="66" outlineLevel="1">
      <c r="A66" s="26" t="inlineStr">
        <is>
          <t>Stabilized concessions: % of leases</t>
        </is>
      </c>
      <c r="B66" s="51" t="n">
        <v>0.25</v>
      </c>
      <c r="C66" s="52">
        <f>IFERROR(INDEX(Database!$DE:$DE,MATCH(MAXIFS(Database!$A:$A,Database!$B:$B,SelectedPhase),Database!$A:$A,0)),"-")</f>
        <v/>
      </c>
    </row>
    <row r="67" outlineLevel="1">
      <c r="A67" s="26" t="inlineStr">
        <is>
          <t>Stabilized concessions: % of GPR</t>
        </is>
      </c>
      <c r="B67" s="37">
        <f>IFERROR(B65/12*B66,0)</f>
        <v/>
      </c>
    </row>
    <row r="68" outlineLevel="1">
      <c r="A68" s="55" t="inlineStr">
        <is>
          <t>Other income lines</t>
        </is>
      </c>
    </row>
    <row r="69" outlineLevel="1">
      <c r="A69" s="56" t="inlineStr">
        <is>
          <t>Line</t>
        </is>
      </c>
      <c r="B69" s="56" t="inlineStr">
        <is>
          <t># of item</t>
        </is>
      </c>
      <c r="C69" s="56" t="inlineStr">
        <is>
          <t>Capture %</t>
        </is>
      </c>
      <c r="D69" s="56" t="inlineStr">
        <is>
          <t>Rate</t>
        </is>
      </c>
      <c r="E69" s="56" t="inlineStr">
        <is>
          <t>Monthly $</t>
        </is>
      </c>
      <c r="F69" s="56" t="inlineStr">
        <is>
          <t>Annual $</t>
        </is>
      </c>
    </row>
    <row r="70" outlineLevel="1">
      <c r="A70" s="57" t="inlineStr">
        <is>
          <t>Other Income ($/unit/mo)</t>
        </is>
      </c>
      <c r="B70" s="30" t="inlineStr"/>
      <c r="C70" s="51" t="n">
        <v>1</v>
      </c>
      <c r="D70" s="41" t="inlineStr"/>
      <c r="E70" s="44">
        <f>IFERROR(Units_Total*$C70*N($D70),0)</f>
        <v/>
      </c>
      <c r="F70" s="44">
        <f>E70*12</f>
        <v/>
      </c>
    </row>
    <row r="71" outlineLevel="1">
      <c r="A71" s="57" t="inlineStr">
        <is>
          <t>Parking Revenue ($/space/mo)</t>
        </is>
      </c>
      <c r="B71" s="30" t="inlineStr"/>
      <c r="C71" s="51" t="n">
        <v>1</v>
      </c>
      <c r="D71" s="41" t="inlineStr"/>
      <c r="E71" s="44">
        <f>IFERROR(B20*$C71*N($D71),0)</f>
        <v/>
      </c>
      <c r="F71" s="44">
        <f>E71*12</f>
        <v/>
      </c>
    </row>
    <row r="72" outlineLevel="1">
      <c r="A72" s="57" t="inlineStr">
        <is>
          <t>Storage Revenue ($/unit/mo)</t>
        </is>
      </c>
      <c r="B72" s="30" t="inlineStr"/>
      <c r="C72" s="51" t="n">
        <v>1</v>
      </c>
      <c r="D72" s="41" t="inlineStr"/>
      <c r="E72" s="44">
        <f>IFERROR(Units_Total*$C72*N($D72),0)</f>
        <v/>
      </c>
      <c r="F72" s="44">
        <f>E72*12</f>
        <v/>
      </c>
    </row>
    <row r="73" outlineLevel="1">
      <c r="A73" s="57" t="inlineStr">
        <is>
          <t>Utilities Reimb. / RUBS ($/unit/mo)</t>
        </is>
      </c>
      <c r="B73" s="30" t="inlineStr"/>
      <c r="C73" s="51" t="n">
        <v>1</v>
      </c>
      <c r="D73" s="41" t="inlineStr"/>
      <c r="E73" s="44">
        <f>IFERROR(Units_Total*$C73*N($D73),0)</f>
        <v/>
      </c>
      <c r="F73" s="44">
        <f>E73*12</f>
        <v/>
      </c>
    </row>
    <row r="74">
      <c r="A74" s="18" t="inlineStr">
        <is>
          <t>(5)  Residential Operating Expenses (Exhibit D)</t>
        </is>
      </c>
      <c r="B74" s="18" t="n"/>
      <c r="C74" s="18" t="n"/>
      <c r="D74" s="18" t="n"/>
      <c r="E74" s="18" t="n"/>
      <c r="F74" s="18" t="n"/>
      <c r="G74" s="18" t="n"/>
      <c r="H74" s="18" t="n"/>
      <c r="I74" s="18" t="n"/>
      <c r="J74" s="18" t="n"/>
      <c r="K74" s="18" t="n"/>
      <c r="L74" s="18" t="n"/>
      <c r="M74" s="18" t="n"/>
      <c r="N74" s="18" t="n"/>
      <c r="O74" s="18" t="n"/>
      <c r="P74" s="18" t="n"/>
      <c r="Q74" s="18" t="n"/>
      <c r="R74" s="18" t="n"/>
      <c r="S74" s="18" t="n"/>
    </row>
    <row r="75" outlineLevel="1">
      <c r="A75" s="56" t="inlineStr">
        <is>
          <t>Line</t>
        </is>
      </c>
      <c r="B75" s="56" t="inlineStr">
        <is>
          <t>Fixed %</t>
        </is>
      </c>
      <c r="C75" s="56" t="inlineStr">
        <is>
          <t>Per-Unit $</t>
        </is>
      </c>
      <c r="D75" s="56" t="inlineStr">
        <is>
          <t>Total $</t>
        </is>
      </c>
    </row>
    <row r="76" outlineLevel="1">
      <c r="A76" s="26" t="inlineStr">
        <is>
          <t>Management Fee (% of EGI)</t>
        </is>
      </c>
      <c r="B76" s="51" t="n">
        <v>0.03</v>
      </c>
      <c r="D76" s="44">
        <f>IFERROR(EGI_Annual*$B76,0)</f>
        <v/>
      </c>
    </row>
    <row r="77" outlineLevel="1">
      <c r="A77" s="7" t="inlineStr">
        <is>
          <t>Controllable</t>
        </is>
      </c>
    </row>
    <row r="78" outlineLevel="1">
      <c r="A78" s="26" t="inlineStr">
        <is>
          <t>Payroll &amp; Related</t>
        </is>
      </c>
      <c r="B78" s="51" t="n">
        <v>0.2</v>
      </c>
      <c r="C78" s="58" t="n">
        <v>1400</v>
      </c>
      <c r="D78" s="44">
        <f>N($C78)*Units_Total</f>
        <v/>
      </c>
    </row>
    <row r="79" outlineLevel="1">
      <c r="A79" s="26" t="inlineStr">
        <is>
          <t>Marketing</t>
        </is>
      </c>
      <c r="B79" s="51" t="n">
        <v>0.1</v>
      </c>
      <c r="C79" s="58" t="n">
        <v>250</v>
      </c>
      <c r="D79" s="44">
        <f>N($C79)*Units_Total</f>
        <v/>
      </c>
    </row>
    <row r="80" outlineLevel="1">
      <c r="A80" s="26" t="inlineStr">
        <is>
          <t>R&amp;M</t>
        </is>
      </c>
      <c r="B80" s="51" t="n">
        <v>0.3</v>
      </c>
      <c r="C80" s="58" t="n">
        <v>600</v>
      </c>
      <c r="D80" s="44">
        <f>N($C80)*Units_Total</f>
        <v/>
      </c>
    </row>
    <row r="81" outlineLevel="1">
      <c r="A81" s="26" t="inlineStr">
        <is>
          <t>Turnover</t>
        </is>
      </c>
      <c r="B81" s="51" t="n">
        <v>0.2</v>
      </c>
      <c r="C81" s="58" t="n">
        <v>300</v>
      </c>
      <c r="D81" s="44">
        <f>N($C81)*Units_Total</f>
        <v/>
      </c>
    </row>
    <row r="82" outlineLevel="1">
      <c r="A82" s="26" t="inlineStr">
        <is>
          <t>G&amp;A</t>
        </is>
      </c>
      <c r="B82" s="51" t="n">
        <v>0.4</v>
      </c>
      <c r="C82" s="58" t="n">
        <v>350</v>
      </c>
      <c r="D82" s="44">
        <f>N($C82)*Units_Total</f>
        <v/>
      </c>
    </row>
    <row r="83" outlineLevel="1">
      <c r="A83" s="26" t="inlineStr">
        <is>
          <t>Contract Services</t>
        </is>
      </c>
      <c r="B83" s="51" t="n">
        <v>0.5</v>
      </c>
      <c r="C83" s="58" t="n">
        <v>400</v>
      </c>
      <c r="D83" s="44">
        <f>N($C83)*Units_Total</f>
        <v/>
      </c>
    </row>
    <row r="84" outlineLevel="1">
      <c r="A84" s="7" t="inlineStr">
        <is>
          <t>Fixed</t>
        </is>
      </c>
    </row>
    <row r="85" outlineLevel="1">
      <c r="A85" s="26" t="inlineStr">
        <is>
          <t>Utilities</t>
        </is>
      </c>
      <c r="B85" s="51" t="n">
        <v>0.6</v>
      </c>
      <c r="C85" s="58" t="n">
        <v>700</v>
      </c>
      <c r="D85" s="44">
        <f>N($C85)*Units_Total</f>
        <v/>
      </c>
    </row>
    <row r="86" outlineLevel="1">
      <c r="A86" s="26" t="inlineStr">
        <is>
          <t>Insurance</t>
        </is>
      </c>
      <c r="B86" s="51" t="n">
        <v>1</v>
      </c>
      <c r="C86" s="58" t="n">
        <v>500</v>
      </c>
      <c r="D86" s="44">
        <f>N($C86)*Units_Total</f>
        <v/>
      </c>
    </row>
    <row r="87" outlineLevel="1">
      <c r="A87" s="26" t="inlineStr">
        <is>
          <t>Replacement Reserve</t>
        </is>
      </c>
      <c r="B87" s="51" t="n">
        <v>1</v>
      </c>
      <c r="C87" s="58" t="n">
        <v>300</v>
      </c>
      <c r="D87" s="44">
        <f>N($C87)*Units_Total</f>
        <v/>
      </c>
    </row>
    <row r="88" outlineLevel="1">
      <c r="A88" s="26" t="inlineStr">
        <is>
          <t>RE Taxes - market units ($/unit)</t>
        </is>
      </c>
      <c r="C88" s="58" t="n">
        <v>2500</v>
      </c>
      <c r="D88" s="44">
        <f>N($C88)*SUM(SUMIFS(UM_Units,UM_Basis,"Market"))</f>
        <v/>
      </c>
    </row>
    <row r="89" outlineLevel="1">
      <c r="A89" s="26" t="inlineStr">
        <is>
          <t>RE Taxes - affordable units ($/unit)</t>
        </is>
      </c>
      <c r="C89" s="58" t="n">
        <v>800</v>
      </c>
      <c r="D89" s="44">
        <f>N($C89)*SUM(SUMIFS(UM_Units,UM_Basis,{"Live Local";"LIHTC";"PBV";"RAD"}))</f>
        <v/>
      </c>
    </row>
    <row r="90" outlineLevel="1">
      <c r="A90" s="17" t="inlineStr">
        <is>
          <t>Note: no RE-tax abatement line (per spec).</t>
        </is>
      </c>
    </row>
    <row r="91" outlineLevel="1">
      <c r="A91" s="45" t="inlineStr">
        <is>
          <t>Total Operating Expenses</t>
        </is>
      </c>
      <c r="D91" s="50">
        <f>D76+D78+D79+D80+D81+D82+D83+D85+D86+D87+D88+D89</f>
        <v/>
      </c>
    </row>
    <row r="92">
      <c r="A92" s="18" t="inlineStr">
        <is>
          <t>(6)  Commercial (Exhibit B)  -  collapse if Has Commercial? = No</t>
        </is>
      </c>
      <c r="B92" s="18" t="n"/>
      <c r="C92" s="18" t="n"/>
      <c r="D92" s="18" t="n"/>
      <c r="E92" s="18" t="n"/>
      <c r="F92" s="18" t="n"/>
      <c r="G92" s="18" t="n"/>
      <c r="H92" s="18" t="n"/>
      <c r="I92" s="18" t="n"/>
      <c r="J92" s="18" t="n"/>
      <c r="K92" s="18" t="n"/>
      <c r="L92" s="18" t="n"/>
      <c r="M92" s="18" t="n"/>
      <c r="N92" s="18" t="n"/>
      <c r="O92" s="18" t="n"/>
      <c r="P92" s="18" t="n"/>
      <c r="Q92" s="18" t="n"/>
      <c r="R92" s="18" t="n"/>
      <c r="S92" s="18" t="n"/>
    </row>
    <row r="93" outlineLevel="1">
      <c r="A93" s="26" t="inlineStr">
        <is>
          <t>Total commercial SF</t>
        </is>
      </c>
      <c r="B93" s="30" t="n">
        <v>0</v>
      </c>
      <c r="C93" s="31">
        <f>IFERROR(INDEX(Database!$EM:$EM,MATCH(MAXIFS(Database!$A:$A,Database!$B:$B,SelectedPhase),Database!$A:$A,0)),"-")</f>
        <v/>
      </c>
    </row>
    <row r="94" outlineLevel="1">
      <c r="A94" s="26" t="inlineStr">
        <is>
          <t>Static % (common/loss)</t>
        </is>
      </c>
      <c r="B94" s="51" t="n">
        <v>0.1</v>
      </c>
      <c r="C94" s="52">
        <f>IFERROR(INDEX(Database!$EN:$EN,MATCH(MAXIFS(Database!$A:$A,Database!$B:$B,SelectedPhase),Database!$A:$A,0)),"-")</f>
        <v/>
      </c>
    </row>
    <row r="95" outlineLevel="1">
      <c r="A95" s="26" t="inlineStr">
        <is>
          <t>Static SF</t>
        </is>
      </c>
      <c r="B95" s="43">
        <f>N(B93)*B94</f>
        <v/>
      </c>
    </row>
    <row r="96" outlineLevel="1">
      <c r="A96" s="26" t="inlineStr">
        <is>
          <t>Leasable SF</t>
        </is>
      </c>
      <c r="B96" s="43">
        <f>N(B93)*(1-B94)</f>
        <v/>
      </c>
    </row>
    <row r="97" outlineLevel="1">
      <c r="A97" s="26" t="inlineStr">
        <is>
          <t>Check (static + leasable = total)</t>
        </is>
      </c>
      <c r="B97" s="43">
        <f>N(B93)-B95-B96</f>
        <v/>
      </c>
    </row>
    <row r="98" outlineLevel="1">
      <c r="A98" s="26" t="inlineStr">
        <is>
          <t>General Vacancy %</t>
        </is>
      </c>
      <c r="B98" s="51" t="n">
        <v>0.07000000000000001</v>
      </c>
      <c r="C98" s="52">
        <f>IFERROR(INDEX(Database!$EO:$EO,MATCH(MAXIFS(Database!$A:$A,Database!$B:$B,SelectedPhase),Database!$A:$A,0)),"-")</f>
        <v/>
      </c>
    </row>
    <row r="99" outlineLevel="1">
      <c r="A99" s="26" t="inlineStr">
        <is>
          <t>Variable OpEx - % variable</t>
        </is>
      </c>
      <c r="B99" s="51" t="n">
        <v>0.5</v>
      </c>
      <c r="C99" s="52">
        <f>IFERROR(INDEX(Database!$EP:$EP,MATCH(MAXIFS(Database!$A:$A,Database!$B:$B,SelectedPhase),Database!$A:$A,0)),"-")</f>
        <v/>
      </c>
    </row>
    <row r="100" outlineLevel="1">
      <c r="A100" s="26" t="inlineStr">
        <is>
          <t>Variable OpEx - $/SF</t>
        </is>
      </c>
      <c r="B100" s="41" t="n">
        <v>3.5</v>
      </c>
      <c r="C100" s="59">
        <f>IFERROR(INDEX(Database!$EQ:$EQ,MATCH(MAXIFS(Database!$A:$A,Database!$B:$B,SelectedPhase),Database!$A:$A,0)),"-")</f>
        <v/>
      </c>
    </row>
    <row r="101" outlineLevel="1">
      <c r="A101" s="26" t="inlineStr">
        <is>
          <t>Insurance $/SF</t>
        </is>
      </c>
      <c r="B101" s="41" t="n">
        <v>0.75</v>
      </c>
      <c r="C101" s="59">
        <f>IFERROR(INDEX(Database!$ER:$ER,MATCH(MAXIFS(Database!$A:$A,Database!$B:$B,SelectedPhase),Database!$A:$A,0)),"-")</f>
        <v/>
      </c>
    </row>
    <row r="102" outlineLevel="1">
      <c r="A102" s="26" t="inlineStr">
        <is>
          <t>RE Taxes $/SF</t>
        </is>
      </c>
      <c r="B102" s="41" t="n">
        <v>2.5</v>
      </c>
      <c r="C102" s="59">
        <f>IFERROR(INDEX(Database!$ES:$ES,MATCH(MAXIFS(Database!$A:$A,Database!$B:$B,SelectedPhase),Database!$A:$A,0)),"-")</f>
        <v/>
      </c>
    </row>
    <row r="103" outlineLevel="1">
      <c r="A103" s="26" t="inlineStr">
        <is>
          <t>Management Fee %</t>
        </is>
      </c>
      <c r="B103" s="51" t="n">
        <v>0.04</v>
      </c>
      <c r="C103" s="52">
        <f>IFERROR(INDEX(Database!$ET:$ET,MATCH(MAXIFS(Database!$A:$A,Database!$B:$B,SelectedPhase),Database!$A:$A,0)),"-")</f>
        <v/>
      </c>
    </row>
    <row r="104" outlineLevel="1">
      <c r="A104" s="55" t="inlineStr">
        <is>
          <t>Tenant rent roll  -  15 rows</t>
        </is>
      </c>
    </row>
    <row r="105" outlineLevel="1">
      <c r="A105" s="60" t="inlineStr">
        <is>
          <t>Tenant Name</t>
        </is>
      </c>
      <c r="B105" s="60" t="inlineStr">
        <is>
          <t>SF</t>
        </is>
      </c>
      <c r="C105" s="60" t="inlineStr">
        <is>
          <t>% Tot SF</t>
        </is>
      </c>
      <c r="D105" s="60" t="inlineStr">
        <is>
          <t>Start Mo</t>
        </is>
      </c>
      <c r="E105" s="60" t="inlineStr">
        <is>
          <t>LCD</t>
        </is>
      </c>
      <c r="F105" s="60" t="inlineStr">
        <is>
          <t>Term (mo)</t>
        </is>
      </c>
      <c r="G105" s="60" t="inlineStr">
        <is>
          <t>LXD</t>
        </is>
      </c>
      <c r="H105" s="60" t="inlineStr">
        <is>
          <t>Rent PSF</t>
        </is>
      </c>
      <c r="I105" s="60" t="inlineStr">
        <is>
          <t>Rent Type</t>
        </is>
      </c>
      <c r="J105" s="60" t="inlineStr">
        <is>
          <t>Escal %</t>
        </is>
      </c>
      <c r="K105" s="60" t="inlineStr">
        <is>
          <t>TI PSF</t>
        </is>
      </c>
      <c r="L105" s="60" t="inlineStr">
        <is>
          <t>LC %</t>
        </is>
      </c>
      <c r="M105" s="60" t="inlineStr">
        <is>
          <t>LC PSF</t>
        </is>
      </c>
      <c r="N105" s="60" t="inlineStr">
        <is>
          <t>FreeRent mo</t>
        </is>
      </c>
      <c r="O105" s="60" t="inlineStr">
        <is>
          <t>FreeRent Start</t>
        </is>
      </c>
      <c r="P105" s="60" t="inlineStr">
        <is>
          <t>FreeRent End</t>
        </is>
      </c>
      <c r="Q105" s="60" t="inlineStr">
        <is>
          <t>Abatement mo</t>
        </is>
      </c>
    </row>
    <row r="106" outlineLevel="1">
      <c r="A106" s="40" t="n"/>
      <c r="B106" s="30" t="inlineStr"/>
      <c r="C106" s="37">
        <f>IFERROR($B106/SUM($B$106:$B$120),0)</f>
        <v/>
      </c>
      <c r="D106" s="30" t="inlineStr"/>
      <c r="E106" s="33" t="inlineStr"/>
      <c r="F106" s="30" t="inlineStr"/>
      <c r="G106" s="35">
        <f>IF($E106="","",IFERROR(EDATE($E106,$F106),""))</f>
        <v/>
      </c>
      <c r="H106" s="41" t="inlineStr"/>
      <c r="I106" s="40" t="n"/>
      <c r="J106" s="51" t="inlineStr"/>
      <c r="K106" s="41" t="inlineStr"/>
      <c r="L106" s="51" t="inlineStr"/>
      <c r="M106" s="42">
        <f>IFERROR($H106*$L106*$F106/12,0)</f>
        <v/>
      </c>
      <c r="N106" s="30" t="inlineStr"/>
      <c r="O106" s="33" t="inlineStr"/>
      <c r="P106" s="35">
        <f>IF($O106="","",IFERROR(EDATE($O106,$N106),""))</f>
        <v/>
      </c>
      <c r="Q106" s="30" t="inlineStr"/>
    </row>
    <row r="107" outlineLevel="1">
      <c r="A107" s="40" t="n"/>
      <c r="B107" s="30" t="inlineStr"/>
      <c r="C107" s="37">
        <f>IFERROR($B107/SUM($B$106:$B$120),0)</f>
        <v/>
      </c>
      <c r="D107" s="30" t="inlineStr"/>
      <c r="E107" s="33" t="inlineStr"/>
      <c r="F107" s="30" t="inlineStr"/>
      <c r="G107" s="35">
        <f>IF($E107="","",IFERROR(EDATE($E107,$F107),""))</f>
        <v/>
      </c>
      <c r="H107" s="41" t="inlineStr"/>
      <c r="I107" s="40" t="n"/>
      <c r="J107" s="51" t="inlineStr"/>
      <c r="K107" s="41" t="inlineStr"/>
      <c r="L107" s="51" t="inlineStr"/>
      <c r="M107" s="42">
        <f>IFERROR($H107*$L107*$F107/12,0)</f>
        <v/>
      </c>
      <c r="N107" s="30" t="inlineStr"/>
      <c r="O107" s="33" t="inlineStr"/>
      <c r="P107" s="35">
        <f>IF($O107="","",IFERROR(EDATE($O107,$N107),""))</f>
        <v/>
      </c>
      <c r="Q107" s="30" t="inlineStr"/>
    </row>
    <row r="108" outlineLevel="1">
      <c r="A108" s="40" t="n"/>
      <c r="B108" s="30" t="inlineStr"/>
      <c r="C108" s="37">
        <f>IFERROR($B108/SUM($B$106:$B$120),0)</f>
        <v/>
      </c>
      <c r="D108" s="30" t="inlineStr"/>
      <c r="E108" s="33" t="inlineStr"/>
      <c r="F108" s="30" t="inlineStr"/>
      <c r="G108" s="35">
        <f>IF($E108="","",IFERROR(EDATE($E108,$F108),""))</f>
        <v/>
      </c>
      <c r="H108" s="41" t="inlineStr"/>
      <c r="I108" s="40" t="n"/>
      <c r="J108" s="51" t="inlineStr"/>
      <c r="K108" s="41" t="inlineStr"/>
      <c r="L108" s="51" t="inlineStr"/>
      <c r="M108" s="42">
        <f>IFERROR($H108*$L108*$F108/12,0)</f>
        <v/>
      </c>
      <c r="N108" s="30" t="inlineStr"/>
      <c r="O108" s="33" t="inlineStr"/>
      <c r="P108" s="35">
        <f>IF($O108="","",IFERROR(EDATE($O108,$N108),""))</f>
        <v/>
      </c>
      <c r="Q108" s="30" t="inlineStr"/>
    </row>
    <row r="109" outlineLevel="1">
      <c r="A109" s="40" t="n"/>
      <c r="B109" s="30" t="inlineStr"/>
      <c r="C109" s="37">
        <f>IFERROR($B109/SUM($B$106:$B$120),0)</f>
        <v/>
      </c>
      <c r="D109" s="30" t="inlineStr"/>
      <c r="E109" s="33" t="inlineStr"/>
      <c r="F109" s="30" t="inlineStr"/>
      <c r="G109" s="35">
        <f>IF($E109="","",IFERROR(EDATE($E109,$F109),""))</f>
        <v/>
      </c>
      <c r="H109" s="41" t="inlineStr"/>
      <c r="I109" s="40" t="n"/>
      <c r="J109" s="51" t="inlineStr"/>
      <c r="K109" s="41" t="inlineStr"/>
      <c r="L109" s="51" t="inlineStr"/>
      <c r="M109" s="42">
        <f>IFERROR($H109*$L109*$F109/12,0)</f>
        <v/>
      </c>
      <c r="N109" s="30" t="inlineStr"/>
      <c r="O109" s="33" t="inlineStr"/>
      <c r="P109" s="35">
        <f>IF($O109="","",IFERROR(EDATE($O109,$N109),""))</f>
        <v/>
      </c>
      <c r="Q109" s="30" t="inlineStr"/>
    </row>
    <row r="110" outlineLevel="1">
      <c r="A110" s="40" t="n"/>
      <c r="B110" s="30" t="inlineStr"/>
      <c r="C110" s="37">
        <f>IFERROR($B110/SUM($B$106:$B$120),0)</f>
        <v/>
      </c>
      <c r="D110" s="30" t="inlineStr"/>
      <c r="E110" s="33" t="inlineStr"/>
      <c r="F110" s="30" t="inlineStr"/>
      <c r="G110" s="35">
        <f>IF($E110="","",IFERROR(EDATE($E110,$F110),""))</f>
        <v/>
      </c>
      <c r="H110" s="41" t="inlineStr"/>
      <c r="I110" s="40" t="n"/>
      <c r="J110" s="51" t="inlineStr"/>
      <c r="K110" s="41" t="inlineStr"/>
      <c r="L110" s="51" t="inlineStr"/>
      <c r="M110" s="42">
        <f>IFERROR($H110*$L110*$F110/12,0)</f>
        <v/>
      </c>
      <c r="N110" s="30" t="inlineStr"/>
      <c r="O110" s="33" t="inlineStr"/>
      <c r="P110" s="35">
        <f>IF($O110="","",IFERROR(EDATE($O110,$N110),""))</f>
        <v/>
      </c>
      <c r="Q110" s="30" t="inlineStr"/>
    </row>
    <row r="111" outlineLevel="1">
      <c r="A111" s="40" t="n"/>
      <c r="B111" s="30" t="inlineStr"/>
      <c r="C111" s="37">
        <f>IFERROR($B111/SUM($B$106:$B$120),0)</f>
        <v/>
      </c>
      <c r="D111" s="30" t="inlineStr"/>
      <c r="E111" s="33" t="inlineStr"/>
      <c r="F111" s="30" t="inlineStr"/>
      <c r="G111" s="35">
        <f>IF($E111="","",IFERROR(EDATE($E111,$F111),""))</f>
        <v/>
      </c>
      <c r="H111" s="41" t="inlineStr"/>
      <c r="I111" s="40" t="n"/>
      <c r="J111" s="51" t="inlineStr"/>
      <c r="K111" s="41" t="inlineStr"/>
      <c r="L111" s="51" t="inlineStr"/>
      <c r="M111" s="42">
        <f>IFERROR($H111*$L111*$F111/12,0)</f>
        <v/>
      </c>
      <c r="N111" s="30" t="inlineStr"/>
      <c r="O111" s="33" t="inlineStr"/>
      <c r="P111" s="35">
        <f>IF($O111="","",IFERROR(EDATE($O111,$N111),""))</f>
        <v/>
      </c>
      <c r="Q111" s="30" t="inlineStr"/>
    </row>
    <row r="112" outlineLevel="1">
      <c r="A112" s="40" t="n"/>
      <c r="B112" s="30" t="inlineStr"/>
      <c r="C112" s="37">
        <f>IFERROR($B112/SUM($B$106:$B$120),0)</f>
        <v/>
      </c>
      <c r="D112" s="30" t="inlineStr"/>
      <c r="E112" s="33" t="inlineStr"/>
      <c r="F112" s="30" t="inlineStr"/>
      <c r="G112" s="35">
        <f>IF($E112="","",IFERROR(EDATE($E112,$F112),""))</f>
        <v/>
      </c>
      <c r="H112" s="41" t="inlineStr"/>
      <c r="I112" s="40" t="n"/>
      <c r="J112" s="51" t="inlineStr"/>
      <c r="K112" s="41" t="inlineStr"/>
      <c r="L112" s="51" t="inlineStr"/>
      <c r="M112" s="42">
        <f>IFERROR($H112*$L112*$F112/12,0)</f>
        <v/>
      </c>
      <c r="N112" s="30" t="inlineStr"/>
      <c r="O112" s="33" t="inlineStr"/>
      <c r="P112" s="35">
        <f>IF($O112="","",IFERROR(EDATE($O112,$N112),""))</f>
        <v/>
      </c>
      <c r="Q112" s="30" t="inlineStr"/>
    </row>
    <row r="113" outlineLevel="1">
      <c r="A113" s="40" t="n"/>
      <c r="B113" s="30" t="inlineStr"/>
      <c r="C113" s="37">
        <f>IFERROR($B113/SUM($B$106:$B$120),0)</f>
        <v/>
      </c>
      <c r="D113" s="30" t="inlineStr"/>
      <c r="E113" s="33" t="inlineStr"/>
      <c r="F113" s="30" t="inlineStr"/>
      <c r="G113" s="35">
        <f>IF($E113="","",IFERROR(EDATE($E113,$F113),""))</f>
        <v/>
      </c>
      <c r="H113" s="41" t="inlineStr"/>
      <c r="I113" s="40" t="n"/>
      <c r="J113" s="51" t="inlineStr"/>
      <c r="K113" s="41" t="inlineStr"/>
      <c r="L113" s="51" t="inlineStr"/>
      <c r="M113" s="42">
        <f>IFERROR($H113*$L113*$F113/12,0)</f>
        <v/>
      </c>
      <c r="N113" s="30" t="inlineStr"/>
      <c r="O113" s="33" t="inlineStr"/>
      <c r="P113" s="35">
        <f>IF($O113="","",IFERROR(EDATE($O113,$N113),""))</f>
        <v/>
      </c>
      <c r="Q113" s="30" t="inlineStr"/>
    </row>
    <row r="114" outlineLevel="1">
      <c r="A114" s="40" t="n"/>
      <c r="B114" s="30" t="inlineStr"/>
      <c r="C114" s="37">
        <f>IFERROR($B114/SUM($B$106:$B$120),0)</f>
        <v/>
      </c>
      <c r="D114" s="30" t="inlineStr"/>
      <c r="E114" s="33" t="inlineStr"/>
      <c r="F114" s="30" t="inlineStr"/>
      <c r="G114" s="35">
        <f>IF($E114="","",IFERROR(EDATE($E114,$F114),""))</f>
        <v/>
      </c>
      <c r="H114" s="41" t="inlineStr"/>
      <c r="I114" s="40" t="n"/>
      <c r="J114" s="51" t="inlineStr"/>
      <c r="K114" s="41" t="inlineStr"/>
      <c r="L114" s="51" t="inlineStr"/>
      <c r="M114" s="42">
        <f>IFERROR($H114*$L114*$F114/12,0)</f>
        <v/>
      </c>
      <c r="N114" s="30" t="inlineStr"/>
      <c r="O114" s="33" t="inlineStr"/>
      <c r="P114" s="35">
        <f>IF($O114="","",IFERROR(EDATE($O114,$N114),""))</f>
        <v/>
      </c>
      <c r="Q114" s="30" t="inlineStr"/>
    </row>
    <row r="115" outlineLevel="1">
      <c r="A115" s="40" t="n"/>
      <c r="B115" s="30" t="inlineStr"/>
      <c r="C115" s="37">
        <f>IFERROR($B115/SUM($B$106:$B$120),0)</f>
        <v/>
      </c>
      <c r="D115" s="30" t="inlineStr"/>
      <c r="E115" s="33" t="inlineStr"/>
      <c r="F115" s="30" t="inlineStr"/>
      <c r="G115" s="35">
        <f>IF($E115="","",IFERROR(EDATE($E115,$F115),""))</f>
        <v/>
      </c>
      <c r="H115" s="41" t="inlineStr"/>
      <c r="I115" s="40" t="n"/>
      <c r="J115" s="51" t="inlineStr"/>
      <c r="K115" s="41" t="inlineStr"/>
      <c r="L115" s="51" t="inlineStr"/>
      <c r="M115" s="42">
        <f>IFERROR($H115*$L115*$F115/12,0)</f>
        <v/>
      </c>
      <c r="N115" s="30" t="inlineStr"/>
      <c r="O115" s="33" t="inlineStr"/>
      <c r="P115" s="35">
        <f>IF($O115="","",IFERROR(EDATE($O115,$N115),""))</f>
        <v/>
      </c>
      <c r="Q115" s="30" t="inlineStr"/>
    </row>
    <row r="116" outlineLevel="1">
      <c r="A116" s="40" t="n"/>
      <c r="B116" s="30" t="inlineStr"/>
      <c r="C116" s="37">
        <f>IFERROR($B116/SUM($B$106:$B$120),0)</f>
        <v/>
      </c>
      <c r="D116" s="30" t="inlineStr"/>
      <c r="E116" s="33" t="inlineStr"/>
      <c r="F116" s="30" t="inlineStr"/>
      <c r="G116" s="35">
        <f>IF($E116="","",IFERROR(EDATE($E116,$F116),""))</f>
        <v/>
      </c>
      <c r="H116" s="41" t="inlineStr"/>
      <c r="I116" s="40" t="n"/>
      <c r="J116" s="51" t="inlineStr"/>
      <c r="K116" s="41" t="inlineStr"/>
      <c r="L116" s="51" t="inlineStr"/>
      <c r="M116" s="42">
        <f>IFERROR($H116*$L116*$F116/12,0)</f>
        <v/>
      </c>
      <c r="N116" s="30" t="inlineStr"/>
      <c r="O116" s="33" t="inlineStr"/>
      <c r="P116" s="35">
        <f>IF($O116="","",IFERROR(EDATE($O116,$N116),""))</f>
        <v/>
      </c>
      <c r="Q116" s="30" t="inlineStr"/>
    </row>
    <row r="117" outlineLevel="1">
      <c r="A117" s="40" t="n"/>
      <c r="B117" s="30" t="inlineStr"/>
      <c r="C117" s="37">
        <f>IFERROR($B117/SUM($B$106:$B$120),0)</f>
        <v/>
      </c>
      <c r="D117" s="30" t="inlineStr"/>
      <c r="E117" s="33" t="inlineStr"/>
      <c r="F117" s="30" t="inlineStr"/>
      <c r="G117" s="35">
        <f>IF($E117="","",IFERROR(EDATE($E117,$F117),""))</f>
        <v/>
      </c>
      <c r="H117" s="41" t="inlineStr"/>
      <c r="I117" s="40" t="n"/>
      <c r="J117" s="51" t="inlineStr"/>
      <c r="K117" s="41" t="inlineStr"/>
      <c r="L117" s="51" t="inlineStr"/>
      <c r="M117" s="42">
        <f>IFERROR($H117*$L117*$F117/12,0)</f>
        <v/>
      </c>
      <c r="N117" s="30" t="inlineStr"/>
      <c r="O117" s="33" t="inlineStr"/>
      <c r="P117" s="35">
        <f>IF($O117="","",IFERROR(EDATE($O117,$N117),""))</f>
        <v/>
      </c>
      <c r="Q117" s="30" t="inlineStr"/>
    </row>
    <row r="118" outlineLevel="1">
      <c r="A118" s="40" t="n"/>
      <c r="B118" s="30" t="inlineStr"/>
      <c r="C118" s="37">
        <f>IFERROR($B118/SUM($B$106:$B$120),0)</f>
        <v/>
      </c>
      <c r="D118" s="30" t="inlineStr"/>
      <c r="E118" s="33" t="inlineStr"/>
      <c r="F118" s="30" t="inlineStr"/>
      <c r="G118" s="35">
        <f>IF($E118="","",IFERROR(EDATE($E118,$F118),""))</f>
        <v/>
      </c>
      <c r="H118" s="41" t="inlineStr"/>
      <c r="I118" s="40" t="n"/>
      <c r="J118" s="51" t="inlineStr"/>
      <c r="K118" s="41" t="inlineStr"/>
      <c r="L118" s="51" t="inlineStr"/>
      <c r="M118" s="42">
        <f>IFERROR($H118*$L118*$F118/12,0)</f>
        <v/>
      </c>
      <c r="N118" s="30" t="inlineStr"/>
      <c r="O118" s="33" t="inlineStr"/>
      <c r="P118" s="35">
        <f>IF($O118="","",IFERROR(EDATE($O118,$N118),""))</f>
        <v/>
      </c>
      <c r="Q118" s="30" t="inlineStr"/>
    </row>
    <row r="119" outlineLevel="1">
      <c r="A119" s="40" t="n"/>
      <c r="B119" s="30" t="inlineStr"/>
      <c r="C119" s="37">
        <f>IFERROR($B119/SUM($B$106:$B$120),0)</f>
        <v/>
      </c>
      <c r="D119" s="30" t="inlineStr"/>
      <c r="E119" s="33" t="inlineStr"/>
      <c r="F119" s="30" t="inlineStr"/>
      <c r="G119" s="35">
        <f>IF($E119="","",IFERROR(EDATE($E119,$F119),""))</f>
        <v/>
      </c>
      <c r="H119" s="41" t="inlineStr"/>
      <c r="I119" s="40" t="n"/>
      <c r="J119" s="51" t="inlineStr"/>
      <c r="K119" s="41" t="inlineStr"/>
      <c r="L119" s="51" t="inlineStr"/>
      <c r="M119" s="42">
        <f>IFERROR($H119*$L119*$F119/12,0)</f>
        <v/>
      </c>
      <c r="N119" s="30" t="inlineStr"/>
      <c r="O119" s="33" t="inlineStr"/>
      <c r="P119" s="35">
        <f>IF($O119="","",IFERROR(EDATE($O119,$N119),""))</f>
        <v/>
      </c>
      <c r="Q119" s="30" t="inlineStr"/>
    </row>
    <row r="120" outlineLevel="1">
      <c r="A120" s="40" t="n"/>
      <c r="B120" s="30" t="inlineStr"/>
      <c r="C120" s="37">
        <f>IFERROR($B120/SUM($B$106:$B$120),0)</f>
        <v/>
      </c>
      <c r="D120" s="30" t="inlineStr"/>
      <c r="E120" s="33" t="inlineStr"/>
      <c r="F120" s="30" t="inlineStr"/>
      <c r="G120" s="35">
        <f>IF($E120="","",IFERROR(EDATE($E120,$F120),""))</f>
        <v/>
      </c>
      <c r="H120" s="41" t="inlineStr"/>
      <c r="I120" s="40" t="n"/>
      <c r="J120" s="51" t="inlineStr"/>
      <c r="K120" s="41" t="inlineStr"/>
      <c r="L120" s="51" t="inlineStr"/>
      <c r="M120" s="42">
        <f>IFERROR($H120*$L120*$F120/12,0)</f>
        <v/>
      </c>
      <c r="N120" s="30" t="inlineStr"/>
      <c r="O120" s="33" t="inlineStr"/>
      <c r="P120" s="35">
        <f>IF($O120="","",IFERROR(EDATE($O120,$N120),""))</f>
        <v/>
      </c>
      <c r="Q120" s="30" t="inlineStr"/>
    </row>
    <row r="121" outlineLevel="1">
      <c r="A121" s="45" t="inlineStr">
        <is>
          <t>WAVG / Total</t>
        </is>
      </c>
      <c r="B121" s="47">
        <f>SUM($B$106:$B$120)</f>
        <v/>
      </c>
      <c r="H121" s="48">
        <f>IFERROR(SUMPRODUCT($B$106:$B$120,$H$106:$H$120)/$B121,0)</f>
        <v/>
      </c>
    </row>
    <row r="122" outlineLevel="1">
      <c r="A122" s="26" t="inlineStr">
        <is>
          <t>Stabilized commercial NOI start date</t>
        </is>
      </c>
      <c r="B122" s="33" t="inlineStr"/>
    </row>
    <row r="123" outlineLevel="1">
      <c r="A123" s="26" t="inlineStr">
        <is>
          <t>Stabilized commercial NOI end date</t>
        </is>
      </c>
      <c r="B123" s="35">
        <f>IF(B122="","",IFERROR(EDATE(B122,12),""))</f>
        <v/>
      </c>
    </row>
    <row r="124" outlineLevel="1">
      <c r="A124" s="55" t="inlineStr">
        <is>
          <t>Stabilized commercial NOI</t>
        </is>
      </c>
      <c r="B124" s="50">
        <f>IFERROR(B96*H121*(1-B98) - B96*(B100+B101+B102),0)</f>
        <v/>
      </c>
    </row>
    <row r="125">
      <c r="A125" s="18" t="inlineStr">
        <is>
          <t>(7)  Growth Rates (Exhibit E)  -  default-linked, per-phase override</t>
        </is>
      </c>
      <c r="B125" s="18" t="n"/>
      <c r="C125" s="18" t="n"/>
      <c r="D125" s="18" t="n"/>
      <c r="E125" s="18" t="n"/>
      <c r="F125" s="18" t="n"/>
      <c r="G125" s="18" t="n"/>
      <c r="H125" s="18" t="n"/>
      <c r="I125" s="18" t="n"/>
      <c r="J125" s="18" t="n"/>
      <c r="K125" s="18" t="n"/>
      <c r="L125" s="18" t="n"/>
      <c r="M125" s="18" t="n"/>
      <c r="N125" s="18" t="n"/>
      <c r="O125" s="18" t="n"/>
      <c r="P125" s="18" t="n"/>
      <c r="Q125" s="18" t="n"/>
      <c r="R125" s="18" t="n"/>
      <c r="S125" s="18" t="n"/>
    </row>
    <row r="126" outlineLevel="1">
      <c r="A126" s="61" t="inlineStr">
        <is>
          <t>Category</t>
        </is>
      </c>
      <c r="B126" s="62" t="inlineStr">
        <is>
          <t>Source</t>
        </is>
      </c>
      <c r="C126" s="56" t="inlineStr">
        <is>
          <t>Year 1</t>
        </is>
      </c>
      <c r="D126" s="56" t="inlineStr">
        <is>
          <t>Year 2</t>
        </is>
      </c>
      <c r="E126" s="56" t="inlineStr">
        <is>
          <t>Year 3</t>
        </is>
      </c>
      <c r="F126" s="56" t="inlineStr">
        <is>
          <t>Year 4</t>
        </is>
      </c>
      <c r="G126" s="56" t="inlineStr">
        <is>
          <t>Year 5</t>
        </is>
      </c>
    </row>
    <row r="127" outlineLevel="1">
      <c r="A127" s="63" t="inlineStr">
        <is>
          <t>Market Rents</t>
        </is>
      </c>
      <c r="B127" s="36" t="inlineStr">
        <is>
          <t>default</t>
        </is>
      </c>
      <c r="C127" s="52">
        <f>INDEX(Growth_Defaults,MATCH($A127,Growth_Rows,0),1)</f>
        <v/>
      </c>
      <c r="D127" s="52">
        <f>INDEX(Growth_Defaults,MATCH($A127,Growth_Rows,0),2)</f>
        <v/>
      </c>
      <c r="E127" s="52">
        <f>INDEX(Growth_Defaults,MATCH($A127,Growth_Rows,0),3)</f>
        <v/>
      </c>
      <c r="F127" s="52">
        <f>INDEX(Growth_Defaults,MATCH($A127,Growth_Rows,0),4)</f>
        <v/>
      </c>
      <c r="G127" s="52">
        <f>INDEX(Growth_Defaults,MATCH($A127,Growth_Rows,0),5)</f>
        <v/>
      </c>
      <c r="I127" s="51" t="inlineStr"/>
      <c r="J127" s="51" t="inlineStr"/>
      <c r="K127" s="51" t="inlineStr"/>
      <c r="L127" s="51" t="inlineStr"/>
      <c r="M127" s="51" t="inlineStr"/>
    </row>
    <row r="128" outlineLevel="1">
      <c r="A128" s="63" t="inlineStr">
        <is>
          <t>Affordable Rents</t>
        </is>
      </c>
      <c r="B128" s="36" t="inlineStr">
        <is>
          <t>default</t>
        </is>
      </c>
      <c r="C128" s="52">
        <f>INDEX(Growth_Defaults,MATCH($A128,Growth_Rows,0),1)</f>
        <v/>
      </c>
      <c r="D128" s="52">
        <f>INDEX(Growth_Defaults,MATCH($A128,Growth_Rows,0),2)</f>
        <v/>
      </c>
      <c r="E128" s="52">
        <f>INDEX(Growth_Defaults,MATCH($A128,Growth_Rows,0),3)</f>
        <v/>
      </c>
      <c r="F128" s="52">
        <f>INDEX(Growth_Defaults,MATCH($A128,Growth_Rows,0),4)</f>
        <v/>
      </c>
      <c r="G128" s="52">
        <f>INDEX(Growth_Defaults,MATCH($A128,Growth_Rows,0),5)</f>
        <v/>
      </c>
      <c r="I128" s="51" t="inlineStr"/>
      <c r="J128" s="51" t="inlineStr"/>
      <c r="K128" s="51" t="inlineStr"/>
      <c r="L128" s="51" t="inlineStr"/>
      <c r="M128" s="51" t="inlineStr"/>
    </row>
    <row r="129" outlineLevel="1">
      <c r="A129" s="63" t="inlineStr">
        <is>
          <t>Retail Rents</t>
        </is>
      </c>
      <c r="B129" s="36" t="inlineStr">
        <is>
          <t>default</t>
        </is>
      </c>
      <c r="C129" s="52">
        <f>INDEX(Growth_Defaults,MATCH($A129,Growth_Rows,0),1)</f>
        <v/>
      </c>
      <c r="D129" s="52">
        <f>INDEX(Growth_Defaults,MATCH($A129,Growth_Rows,0),2)</f>
        <v/>
      </c>
      <c r="E129" s="52">
        <f>INDEX(Growth_Defaults,MATCH($A129,Growth_Rows,0),3)</f>
        <v/>
      </c>
      <c r="F129" s="52">
        <f>INDEX(Growth_Defaults,MATCH($A129,Growth_Rows,0),4)</f>
        <v/>
      </c>
      <c r="G129" s="52">
        <f>INDEX(Growth_Defaults,MATCH($A129,Growth_Rows,0),5)</f>
        <v/>
      </c>
      <c r="I129" s="51" t="inlineStr"/>
      <c r="J129" s="51" t="inlineStr"/>
      <c r="K129" s="51" t="inlineStr"/>
      <c r="L129" s="51" t="inlineStr"/>
      <c r="M129" s="51" t="inlineStr"/>
    </row>
    <row r="130" outlineLevel="1">
      <c r="A130" s="63" t="inlineStr">
        <is>
          <t>Other Income</t>
        </is>
      </c>
      <c r="B130" s="36" t="inlineStr">
        <is>
          <t>default</t>
        </is>
      </c>
      <c r="C130" s="52">
        <f>INDEX(Growth_Defaults,MATCH($A130,Growth_Rows,0),1)</f>
        <v/>
      </c>
      <c r="D130" s="52">
        <f>INDEX(Growth_Defaults,MATCH($A130,Growth_Rows,0),2)</f>
        <v/>
      </c>
      <c r="E130" s="52">
        <f>INDEX(Growth_Defaults,MATCH($A130,Growth_Rows,0),3)</f>
        <v/>
      </c>
      <c r="F130" s="52">
        <f>INDEX(Growth_Defaults,MATCH($A130,Growth_Rows,0),4)</f>
        <v/>
      </c>
      <c r="G130" s="52">
        <f>INDEX(Growth_Defaults,MATCH($A130,Growth_Rows,0),5)</f>
        <v/>
      </c>
      <c r="I130" s="51" t="inlineStr"/>
      <c r="J130" s="51" t="inlineStr"/>
      <c r="K130" s="51" t="inlineStr"/>
      <c r="L130" s="51" t="inlineStr"/>
      <c r="M130" s="51" t="inlineStr"/>
    </row>
    <row r="131" outlineLevel="1">
      <c r="A131" s="63" t="inlineStr">
        <is>
          <t>Operating Expenses</t>
        </is>
      </c>
      <c r="B131" s="36" t="inlineStr">
        <is>
          <t>default</t>
        </is>
      </c>
      <c r="C131" s="52">
        <f>INDEX(Growth_Defaults,MATCH($A131,Growth_Rows,0),1)</f>
        <v/>
      </c>
      <c r="D131" s="52">
        <f>INDEX(Growth_Defaults,MATCH($A131,Growth_Rows,0),2)</f>
        <v/>
      </c>
      <c r="E131" s="52">
        <f>INDEX(Growth_Defaults,MATCH($A131,Growth_Rows,0),3)</f>
        <v/>
      </c>
      <c r="F131" s="52">
        <f>INDEX(Growth_Defaults,MATCH($A131,Growth_Rows,0),4)</f>
        <v/>
      </c>
      <c r="G131" s="52">
        <f>INDEX(Growth_Defaults,MATCH($A131,Growth_Rows,0),5)</f>
        <v/>
      </c>
      <c r="I131" s="51" t="inlineStr"/>
      <c r="J131" s="51" t="inlineStr"/>
      <c r="K131" s="51" t="inlineStr"/>
      <c r="L131" s="51" t="inlineStr"/>
      <c r="M131" s="51" t="inlineStr"/>
    </row>
    <row r="132" outlineLevel="1">
      <c r="A132" s="17" t="inlineStr">
        <is>
          <t>Cols C-G show Master defaults [LINK]; cols I-M are optional per-phase overrides [INPUT]. Year 5 = Year 5+.</t>
        </is>
      </c>
    </row>
    <row r="133">
      <c r="A133" s="18" t="inlineStr">
        <is>
          <t>(8)  Development Budget / Capital Costs</t>
        </is>
      </c>
      <c r="B133" s="18" t="n"/>
      <c r="C133" s="18" t="n"/>
      <c r="D133" s="18" t="n"/>
      <c r="E133" s="18" t="n"/>
      <c r="F133" s="18" t="n"/>
      <c r="G133" s="18" t="n"/>
      <c r="H133" s="18" t="n"/>
      <c r="I133" s="18" t="n"/>
      <c r="J133" s="18" t="n"/>
      <c r="K133" s="18" t="n"/>
      <c r="L133" s="18" t="n"/>
      <c r="M133" s="18" t="n"/>
      <c r="N133" s="18" t="n"/>
      <c r="O133" s="18" t="n"/>
      <c r="P133" s="18" t="n"/>
      <c r="Q133" s="18" t="n"/>
      <c r="R133" s="18" t="n"/>
      <c r="S133" s="18" t="n"/>
    </row>
    <row r="134" outlineLevel="1">
      <c r="A134" s="56" t="inlineStr">
        <is>
          <t>Line</t>
        </is>
      </c>
      <c r="B134" s="56" t="inlineStr">
        <is>
          <t>$</t>
        </is>
      </c>
      <c r="C134" s="56" t="inlineStr">
        <is>
          <t>$/Unit</t>
        </is>
      </c>
      <c r="D134" s="56" t="inlineStr">
        <is>
          <t>$/GSF</t>
        </is>
      </c>
      <c r="E134" s="56" t="inlineStr">
        <is>
          <t>Cost Curve</t>
        </is>
      </c>
    </row>
    <row r="135" outlineLevel="1">
      <c r="A135" s="7" t="inlineStr">
        <is>
          <t>Land &amp; Hard Costs</t>
        </is>
      </c>
    </row>
    <row r="136" outlineLevel="1">
      <c r="A136" s="26" t="inlineStr">
        <is>
          <t>Land</t>
        </is>
      </c>
      <c r="B136" s="58" t="n">
        <v>8000000</v>
      </c>
      <c r="C136" s="44">
        <f>IFERROR(B136/Units_Total,0)</f>
        <v/>
      </c>
      <c r="D136" s="42">
        <f>IFERROR(B136/N(B18),0)</f>
        <v/>
      </c>
      <c r="E136" s="40" t="inlineStr">
        <is>
          <t>S-curve</t>
        </is>
      </c>
    </row>
    <row r="137" outlineLevel="1">
      <c r="A137" s="26" t="inlineStr">
        <is>
          <t>Shell / Core</t>
        </is>
      </c>
      <c r="B137" s="58" t="n">
        <v>28000000</v>
      </c>
      <c r="C137" s="44">
        <f>IFERROR(B137/Units_Total,0)</f>
        <v/>
      </c>
      <c r="D137" s="42">
        <f>IFERROR(B137/N(B18),0)</f>
        <v/>
      </c>
      <c r="E137" s="40" t="inlineStr">
        <is>
          <t>S-curve</t>
        </is>
      </c>
    </row>
    <row r="138" outlineLevel="1">
      <c r="A138" s="26" t="inlineStr">
        <is>
          <t>Sitework</t>
        </is>
      </c>
      <c r="B138" s="58" t="n">
        <v>4000000</v>
      </c>
      <c r="C138" s="44">
        <f>IFERROR(B138/Units_Total,0)</f>
        <v/>
      </c>
      <c r="D138" s="42">
        <f>IFERROR(B138/N(B18),0)</f>
        <v/>
      </c>
      <c r="E138" s="40" t="inlineStr">
        <is>
          <t>S-curve</t>
        </is>
      </c>
    </row>
    <row r="139" outlineLevel="1">
      <c r="A139" s="26" t="inlineStr">
        <is>
          <t>Parking Structure</t>
        </is>
      </c>
      <c r="B139" s="58" t="n">
        <v>6000000</v>
      </c>
      <c r="C139" s="44">
        <f>IFERROR(B139/Units_Total,0)</f>
        <v/>
      </c>
      <c r="D139" s="42">
        <f>IFERROR(B139/N(B18),0)</f>
        <v/>
      </c>
      <c r="E139" s="40" t="inlineStr">
        <is>
          <t>S-curve</t>
        </is>
      </c>
    </row>
    <row r="140" outlineLevel="1">
      <c r="A140" s="26" t="inlineStr">
        <is>
          <t>FF&amp;E</t>
        </is>
      </c>
      <c r="B140" s="58" t="n">
        <v>1500000</v>
      </c>
      <c r="C140" s="44">
        <f>IFERROR(B140/Units_Total,0)</f>
        <v/>
      </c>
      <c r="D140" s="42">
        <f>IFERROR(B140/N(B18),0)</f>
        <v/>
      </c>
      <c r="E140" s="40" t="inlineStr">
        <is>
          <t>S-curve</t>
        </is>
      </c>
    </row>
    <row r="141" outlineLevel="1">
      <c r="A141" s="26" t="inlineStr">
        <is>
          <t>GC Fee</t>
        </is>
      </c>
      <c r="B141" s="58" t="n">
        <v>2000000</v>
      </c>
      <c r="C141" s="44">
        <f>IFERROR(B141/Units_Total,0)</f>
        <v/>
      </c>
      <c r="D141" s="42">
        <f>IFERROR(B141/N(B18),0)</f>
        <v/>
      </c>
      <c r="E141" s="40" t="inlineStr">
        <is>
          <t>S-curve</t>
        </is>
      </c>
    </row>
    <row r="142" outlineLevel="1">
      <c r="A142" s="26" t="inlineStr">
        <is>
          <t>Hard Contingency %</t>
        </is>
      </c>
      <c r="B142" s="51" t="n">
        <v>0.05</v>
      </c>
      <c r="C142" s="44">
        <f>IFERROR(($B142)*(SUM($B$137:$B$141)),0)</f>
        <v/>
      </c>
      <c r="D142" s="44">
        <f>IFERROR(C142/Units_Total,0)</f>
        <v/>
      </c>
      <c r="E142" s="42">
        <f>IFERROR(C142/N(B18),0)</f>
        <v/>
      </c>
    </row>
    <row r="143" outlineLevel="1">
      <c r="A143" s="7" t="inlineStr">
        <is>
          <t>Soft Costs</t>
        </is>
      </c>
    </row>
    <row r="144" outlineLevel="1">
      <c r="A144" s="26" t="inlineStr">
        <is>
          <t>A&amp;E</t>
        </is>
      </c>
      <c r="B144" s="58" t="n">
        <v>2500000</v>
      </c>
      <c r="C144" s="44">
        <f>IFERROR(B144/Units_Total,0)</f>
        <v/>
      </c>
      <c r="D144" s="42">
        <f>IFERROR(B144/N(B18),0)</f>
        <v/>
      </c>
      <c r="E144" s="40" t="inlineStr">
        <is>
          <t>S-curve</t>
        </is>
      </c>
    </row>
    <row r="145" outlineLevel="1">
      <c r="A145" s="26" t="inlineStr">
        <is>
          <t>Permits &amp; Impact Fees</t>
        </is>
      </c>
      <c r="B145" s="58" t="n">
        <v>1800000</v>
      </c>
      <c r="C145" s="44">
        <f>IFERROR(B145/Units_Total,0)</f>
        <v/>
      </c>
      <c r="D145" s="42">
        <f>IFERROR(B145/N(B18),0)</f>
        <v/>
      </c>
      <c r="E145" s="40" t="inlineStr">
        <is>
          <t>S-curve</t>
        </is>
      </c>
    </row>
    <row r="146" outlineLevel="1">
      <c r="A146" s="26" t="inlineStr">
        <is>
          <t>Legal</t>
        </is>
      </c>
      <c r="B146" s="58" t="n">
        <v>600000</v>
      </c>
      <c r="C146" s="44">
        <f>IFERROR(B146/Units_Total,0)</f>
        <v/>
      </c>
      <c r="D146" s="42">
        <f>IFERROR(B146/N(B18),0)</f>
        <v/>
      </c>
      <c r="E146" s="40" t="inlineStr">
        <is>
          <t>S-curve</t>
        </is>
      </c>
    </row>
    <row r="147" outlineLevel="1">
      <c r="A147" s="26" t="inlineStr">
        <is>
          <t>Marketing / Lease-up</t>
        </is>
      </c>
      <c r="B147" s="58" t="n">
        <v>700000</v>
      </c>
      <c r="C147" s="44">
        <f>IFERROR(B147/Units_Total,0)</f>
        <v/>
      </c>
      <c r="D147" s="42">
        <f>IFERROR(B147/N(B18),0)</f>
        <v/>
      </c>
      <c r="E147" s="40" t="inlineStr">
        <is>
          <t>S-curve</t>
        </is>
      </c>
    </row>
    <row r="148" outlineLevel="1">
      <c r="A148" s="26" t="inlineStr">
        <is>
          <t>Developer Fee</t>
        </is>
      </c>
      <c r="B148" s="58" t="n">
        <v>3000000</v>
      </c>
      <c r="C148" s="44">
        <f>IFERROR(B148/Units_Total,0)</f>
        <v/>
      </c>
      <c r="D148" s="42">
        <f>IFERROR(B148/N(B18),0)</f>
        <v/>
      </c>
      <c r="E148" s="40" t="inlineStr">
        <is>
          <t>S-curve</t>
        </is>
      </c>
    </row>
    <row r="149" outlineLevel="1">
      <c r="A149" s="26" t="inlineStr">
        <is>
          <t>Taxes &amp; Insurance during Construction</t>
        </is>
      </c>
      <c r="B149" s="58" t="n">
        <v>900000</v>
      </c>
      <c r="C149" s="44">
        <f>IFERROR(B149/Units_Total,0)</f>
        <v/>
      </c>
      <c r="D149" s="42">
        <f>IFERROR(B149/N(B18),0)</f>
        <v/>
      </c>
      <c r="E149" s="40" t="inlineStr">
        <is>
          <t>S-curve</t>
        </is>
      </c>
    </row>
    <row r="150" outlineLevel="1">
      <c r="A150" s="26" t="inlineStr">
        <is>
          <t>Soft Contingency %</t>
        </is>
      </c>
      <c r="B150" s="51" t="n">
        <v>0.05</v>
      </c>
      <c r="C150" s="44">
        <f>IFERROR(($B150)*(SUM($B$144:$B$149)),0)</f>
        <v/>
      </c>
      <c r="D150" s="44">
        <f>IFERROR(C150/Units_Total,0)</f>
        <v/>
      </c>
      <c r="E150" s="42">
        <f>IFERROR(C150/N(B18),0)</f>
        <v/>
      </c>
    </row>
    <row r="151" outlineLevel="1">
      <c r="A151" s="45" t="inlineStr">
        <is>
          <t>Total Development Cost</t>
        </is>
      </c>
      <c r="B151" s="50">
        <f>B136+B137+B138+B139+B140+B141+C142+B144+B145+B146+B147+B148+B149+C150</f>
        <v/>
      </c>
      <c r="C151" s="50">
        <f>IFERROR(B151/Units_Total,0)</f>
        <v/>
      </c>
      <c r="D151" s="48">
        <f>IFERROR(B151/N(B18),0)</f>
        <v/>
      </c>
    </row>
    <row r="152">
      <c r="A152" s="18" t="inlineStr">
        <is>
          <t>(9)  Operating Proforma Summary - Untrended (Exhibit G)</t>
        </is>
      </c>
      <c r="B152" s="18" t="n"/>
      <c r="C152" s="64" t="inlineStr">
        <is>
          <t>$ Annual</t>
        </is>
      </c>
      <c r="D152" s="64" t="inlineStr">
        <is>
          <t>$ PUPM</t>
        </is>
      </c>
      <c r="E152" s="18" t="n"/>
      <c r="F152" s="18" t="n"/>
      <c r="G152" s="18" t="n"/>
      <c r="H152" s="18" t="n"/>
      <c r="I152" s="18" t="n"/>
      <c r="J152" s="18" t="n"/>
      <c r="K152" s="18" t="n"/>
      <c r="L152" s="18" t="n"/>
      <c r="M152" s="18" t="n"/>
      <c r="N152" s="18" t="n"/>
      <c r="O152" s="18" t="n"/>
      <c r="P152" s="18" t="n"/>
      <c r="Q152" s="18" t="n"/>
      <c r="R152" s="18" t="n"/>
      <c r="S152" s="18" t="n"/>
    </row>
    <row r="153" outlineLevel="1">
      <c r="A153" s="26" t="inlineStr">
        <is>
          <t>Gross Potential Rent</t>
        </is>
      </c>
      <c r="C153" s="44">
        <f>ResRent_Total_mo*12</f>
        <v/>
      </c>
      <c r="D153" s="42">
        <f>IFERROR(C153/Units_Total/12,0)</f>
        <v/>
      </c>
    </row>
    <row r="154" outlineLevel="1">
      <c r="A154" s="26" t="inlineStr">
        <is>
          <t>Loss to Old Lease (model/non-rev)</t>
        </is>
      </c>
      <c r="C154" s="44">
        <f>-((B60+B61)*IFERROR(ResRent_Total_mo/Units_Total,0)*12)</f>
        <v/>
      </c>
      <c r="D154" s="42">
        <f>IFERROR(C154/Units_Total/12,0)</f>
        <v/>
      </c>
    </row>
    <row r="155" outlineLevel="1">
      <c r="A155" s="55" t="inlineStr">
        <is>
          <t>Net Rental Revenue</t>
        </is>
      </c>
      <c r="C155" s="50">
        <f>GPR_Annual+LossOldLease</f>
        <v/>
      </c>
      <c r="D155" s="48">
        <f>IFERROR(C155/Units_Total/12,0)</f>
        <v/>
      </c>
    </row>
    <row r="156" outlineLevel="1">
      <c r="A156" s="26" t="inlineStr">
        <is>
          <t>Vacancy</t>
        </is>
      </c>
      <c r="C156" s="44">
        <f>-NetRentRev*B58</f>
        <v/>
      </c>
      <c r="D156" s="42">
        <f>IFERROR(C156/Units_Total/12,0)</f>
        <v/>
      </c>
    </row>
    <row r="157" outlineLevel="1">
      <c r="A157" s="26" t="inlineStr">
        <is>
          <t>Concession</t>
        </is>
      </c>
      <c r="C157" s="44">
        <f>-NetRentRev*B67</f>
        <v/>
      </c>
      <c r="D157" s="42">
        <f>IFERROR(C157/Units_Total/12,0)</f>
        <v/>
      </c>
    </row>
    <row r="158" outlineLevel="1">
      <c r="A158" s="26" t="inlineStr">
        <is>
          <t>Collection Loss</t>
        </is>
      </c>
      <c r="C158" s="44">
        <f>-(NetRentRev+VacancyAmt+ConcessionAmt)*B59</f>
        <v/>
      </c>
      <c r="D158" s="42">
        <f>IFERROR(C158/Units_Total/12,0)</f>
        <v/>
      </c>
    </row>
    <row r="159" outlineLevel="1">
      <c r="A159" s="55" t="inlineStr">
        <is>
          <t>Effective Rental Revenue</t>
        </is>
      </c>
      <c r="C159" s="50">
        <f>NetRentRev+VacancyAmt+ConcessionAmt+CollLoss</f>
        <v/>
      </c>
      <c r="D159" s="48">
        <f>IFERROR(C159/Units_Total/12,0)</f>
        <v/>
      </c>
    </row>
    <row r="160" outlineLevel="1">
      <c r="A160" s="26" t="inlineStr">
        <is>
          <t>Other Income (net)</t>
        </is>
      </c>
      <c r="C160" s="44">
        <f>(F70+F71+F72+F73)*(1-B58)</f>
        <v/>
      </c>
      <c r="D160" s="42">
        <f>IFERROR(C160/Units_Total/12,0)</f>
        <v/>
      </c>
    </row>
    <row r="161" outlineLevel="1">
      <c r="A161" s="55" t="inlineStr">
        <is>
          <t>Effective Gross Income (EGI)</t>
        </is>
      </c>
      <c r="C161" s="50">
        <f>EffRentRev+OtherIncomeNet</f>
        <v/>
      </c>
      <c r="D161" s="48">
        <f>IFERROR(C161/Units_Total/12,0)</f>
        <v/>
      </c>
    </row>
    <row r="162" outlineLevel="1">
      <c r="A162" s="26" t="inlineStr">
        <is>
          <t>Payroll</t>
        </is>
      </c>
      <c r="C162" s="44">
        <f>-D78</f>
        <v/>
      </c>
      <c r="D162" s="42">
        <f>IFERROR(C162/Units_Total/12,0)</f>
        <v/>
      </c>
    </row>
    <row r="163" outlineLevel="1">
      <c r="A163" s="26" t="inlineStr">
        <is>
          <t>Marketing</t>
        </is>
      </c>
      <c r="C163" s="44">
        <f>-D79</f>
        <v/>
      </c>
      <c r="D163" s="42">
        <f>IFERROR(C163/Units_Total/12,0)</f>
        <v/>
      </c>
    </row>
    <row r="164" outlineLevel="1">
      <c r="A164" s="26" t="inlineStr">
        <is>
          <t>Administrative (G&amp;A)</t>
        </is>
      </c>
      <c r="C164" s="44">
        <f>-D82</f>
        <v/>
      </c>
      <c r="D164" s="42">
        <f>IFERROR(C164/Units_Total/12,0)</f>
        <v/>
      </c>
    </row>
    <row r="165" outlineLevel="1">
      <c r="A165" s="26" t="inlineStr">
        <is>
          <t>Repairs &amp; Maintenance</t>
        </is>
      </c>
      <c r="C165" s="44">
        <f>-D80</f>
        <v/>
      </c>
      <c r="D165" s="42">
        <f>IFERROR(C165/Units_Total/12,0)</f>
        <v/>
      </c>
    </row>
    <row r="166" outlineLevel="1">
      <c r="A166" s="26" t="inlineStr">
        <is>
          <t>Utilities</t>
        </is>
      </c>
      <c r="C166" s="44">
        <f>-D85</f>
        <v/>
      </c>
      <c r="D166" s="42">
        <f>IFERROR(C166/Units_Total/12,0)</f>
        <v/>
      </c>
    </row>
    <row r="167" outlineLevel="1">
      <c r="A167" s="26" t="inlineStr">
        <is>
          <t>Insurance</t>
        </is>
      </c>
      <c r="C167" s="44">
        <f>-D86</f>
        <v/>
      </c>
      <c r="D167" s="42">
        <f>IFERROR(C167/Units_Total/12,0)</f>
        <v/>
      </c>
    </row>
    <row r="168" outlineLevel="1">
      <c r="A168" s="26" t="inlineStr">
        <is>
          <t>RE Taxes</t>
        </is>
      </c>
      <c r="C168" s="44">
        <f>-(D88+D89)</f>
        <v/>
      </c>
      <c r="D168" s="42">
        <f>IFERROR(C168/Units_Total/12,0)</f>
        <v/>
      </c>
    </row>
    <row r="169" outlineLevel="1">
      <c r="A169" s="26" t="inlineStr">
        <is>
          <t>Management Fee</t>
        </is>
      </c>
      <c r="C169" s="44">
        <f>-D76</f>
        <v/>
      </c>
      <c r="D169" s="42">
        <f>IFERROR(C169/Units_Total/12,0)</f>
        <v/>
      </c>
    </row>
    <row r="170" outlineLevel="1">
      <c r="A170" s="55" t="inlineStr">
        <is>
          <t>Total Operating Expenses</t>
        </is>
      </c>
      <c r="C170" s="50">
        <f>-D91</f>
        <v/>
      </c>
      <c r="D170" s="48">
        <f>IFERROR(C170/Units_Total/12,0)</f>
        <v/>
      </c>
    </row>
    <row r="171" outlineLevel="1">
      <c r="A171" s="26" t="inlineStr">
        <is>
          <t>OpEx Ratio (% of EGI)</t>
        </is>
      </c>
      <c r="C171" s="37">
        <f>IFERROR(-TotOpEx/EGI_Annual,0)</f>
        <v/>
      </c>
    </row>
    <row r="172" outlineLevel="1">
      <c r="A172" s="55" t="inlineStr">
        <is>
          <t>Net Operating Income (residential)</t>
        </is>
      </c>
      <c r="C172" s="50">
        <f>EGI_Annual+TotOpEx</f>
        <v/>
      </c>
      <c r="D172" s="48">
        <f>IFERROR(C172/Units_Total/12,0)</f>
        <v/>
      </c>
    </row>
    <row r="173" outlineLevel="1">
      <c r="A173" s="26" t="inlineStr">
        <is>
          <t>+ Stabilized Commercial NOI</t>
        </is>
      </c>
      <c r="C173" s="44">
        <f>IF(HasCommercial_ref="Yes",Comm_NOI,0)</f>
        <v/>
      </c>
      <c r="D173" s="42">
        <f>IFERROR(C173/Units_Total/12,0)</f>
        <v/>
      </c>
    </row>
    <row r="174" outlineLevel="1">
      <c r="A174" s="55" t="inlineStr">
        <is>
          <t>Net Operating Income (total)</t>
        </is>
      </c>
      <c r="C174" s="50">
        <f>NOI_Res+NOI_CommLine</f>
        <v/>
      </c>
      <c r="D174" s="48">
        <f>IFERROR(C174/Units_Total/12,0)</f>
        <v/>
      </c>
    </row>
  </sheetData>
  <sheetProtection selectLockedCells="0" selectUnlockedCells="0" sheet="1" objects="0" insertRows="1" insertHyperlinks="1" autoFilter="1" scenarios="0" formatColumns="1" deleteColumns="1" insertColumns="1" pivotTables="1" deleteRows="1" formatCells="0" formatRows="1" sort="1"/>
  <mergeCells count="4">
    <mergeCell ref="G5:H5"/>
    <mergeCell ref="K5:L5"/>
    <mergeCell ref="I5:J5"/>
    <mergeCell ref="B5:E5"/>
  </mergeCells>
  <conditionalFormatting sqref="B13">
    <cfRule type="expression" priority="1" dxfId="0">
      <formula>ISBLANK(B13)</formula>
    </cfRule>
  </conditionalFormatting>
  <conditionalFormatting sqref="B14">
    <cfRule type="expression" priority="2" dxfId="0">
      <formula>ISBLANK(B14)</formula>
    </cfRule>
  </conditionalFormatting>
  <conditionalFormatting sqref="B18">
    <cfRule type="expression" priority="3" dxfId="0">
      <formula>ISBLANK(B18)</formula>
    </cfRule>
  </conditionalFormatting>
  <conditionalFormatting sqref="B24">
    <cfRule type="expression" priority="4" dxfId="0">
      <formula>ISBLANK(B24)</formula>
    </cfRule>
  </conditionalFormatting>
  <dataValidations count="60">
    <dataValidation sqref="B4" showDropDown="0" showInputMessage="0" showErrorMessage="0" allowBlank="0" type="list">
      <formula1>=PhaseID_List</formula1>
    </dataValidation>
    <dataValidation sqref="B15" showDropDown="0" showInputMessage="0" showErrorMessage="0" allowBlank="1" type="list">
      <formula1>=YesNo_List</formula1>
    </dataValidation>
    <dataValidation sqref="B16" showDropDown="0" showInputMessage="0" showErrorMessage="0" allowBlank="1" type="list">
      <formula1>=YesNo_List</formula1>
    </dataValidation>
    <dataValidation sqref="A37" showDropDown="0" showInputMessage="0" showErrorMessage="0" allowBlank="1" type="list">
      <formula1>=BedroomType_List</formula1>
    </dataValidation>
    <dataValidation sqref="B37" showDropDown="0" showInputMessage="0" showErrorMessage="0" allowBlank="1" type="list">
      <formula1>=RentBasis_List</formula1>
    </dataValidation>
    <dataValidation sqref="A38" showDropDown="0" showInputMessage="0" showErrorMessage="0" allowBlank="1" type="list">
      <formula1>=BedroomType_List</formula1>
    </dataValidation>
    <dataValidation sqref="B38" showDropDown="0" showInputMessage="0" showErrorMessage="0" allowBlank="1" type="list">
      <formula1>=RentBasis_List</formula1>
    </dataValidation>
    <dataValidation sqref="A39" showDropDown="0" showInputMessage="0" showErrorMessage="0" allowBlank="1" type="list">
      <formula1>=BedroomType_List</formula1>
    </dataValidation>
    <dataValidation sqref="B39" showDropDown="0" showInputMessage="0" showErrorMessage="0" allowBlank="1" type="list">
      <formula1>=RentBasis_List</formula1>
    </dataValidation>
    <dataValidation sqref="A40" showDropDown="0" showInputMessage="0" showErrorMessage="0" allowBlank="1" type="list">
      <formula1>=BedroomType_List</formula1>
    </dataValidation>
    <dataValidation sqref="B40" showDropDown="0" showInputMessage="0" showErrorMessage="0" allowBlank="1" type="list">
      <formula1>=RentBasis_List</formula1>
    </dataValidation>
    <dataValidation sqref="A41" showDropDown="0" showInputMessage="0" showErrorMessage="0" allowBlank="1" type="list">
      <formula1>=BedroomType_List</formula1>
    </dataValidation>
    <dataValidation sqref="B41" showDropDown="0" showInputMessage="0" showErrorMessage="0" allowBlank="1" type="list">
      <formula1>=RentBasis_List</formula1>
    </dataValidation>
    <dataValidation sqref="A42" showDropDown="0" showInputMessage="0" showErrorMessage="0" allowBlank="1" type="list">
      <formula1>=BedroomType_List</formula1>
    </dataValidation>
    <dataValidation sqref="B42" showDropDown="0" showInputMessage="0" showErrorMessage="0" allowBlank="1" type="list">
      <formula1>=RentBasis_List</formula1>
    </dataValidation>
    <dataValidation sqref="A43" showDropDown="0" showInputMessage="0" showErrorMessage="0" allowBlank="1" type="list">
      <formula1>=BedroomType_List</formula1>
    </dataValidation>
    <dataValidation sqref="B43" showDropDown="0" showInputMessage="0" showErrorMessage="0" allowBlank="1" type="list">
      <formula1>=RentBasis_List</formula1>
    </dataValidation>
    <dataValidation sqref="A44" showDropDown="0" showInputMessage="0" showErrorMessage="0" allowBlank="1" type="list">
      <formula1>=BedroomType_List</formula1>
    </dataValidation>
    <dataValidation sqref="B44" showDropDown="0" showInputMessage="0" showErrorMessage="0" allowBlank="1" type="list">
      <formula1>=RentBasis_List</formula1>
    </dataValidation>
    <dataValidation sqref="A45" showDropDown="0" showInputMessage="0" showErrorMessage="0" allowBlank="1" type="list">
      <formula1>=BedroomType_List</formula1>
    </dataValidation>
    <dataValidation sqref="B45" showDropDown="0" showInputMessage="0" showErrorMessage="0" allowBlank="1" type="list">
      <formula1>=RentBasis_List</formula1>
    </dataValidation>
    <dataValidation sqref="A46" showDropDown="0" showInputMessage="0" showErrorMessage="0" allowBlank="1" type="list">
      <formula1>=BedroomType_List</formula1>
    </dataValidation>
    <dataValidation sqref="B46" showDropDown="0" showInputMessage="0" showErrorMessage="0" allowBlank="1" type="list">
      <formula1>=RentBasis_List</formula1>
    </dataValidation>
    <dataValidation sqref="A47" showDropDown="0" showInputMessage="0" showErrorMessage="0" allowBlank="1" type="list">
      <formula1>=BedroomType_List</formula1>
    </dataValidation>
    <dataValidation sqref="B47" showDropDown="0" showInputMessage="0" showErrorMessage="0" allowBlank="1" type="list">
      <formula1>=RentBasis_List</formula1>
    </dataValidation>
    <dataValidation sqref="A48" showDropDown="0" showInputMessage="0" showErrorMessage="0" allowBlank="1" type="list">
      <formula1>=BedroomType_List</formula1>
    </dataValidation>
    <dataValidation sqref="B48" showDropDown="0" showInputMessage="0" showErrorMessage="0" allowBlank="1" type="list">
      <formula1>=RentBasis_List</formula1>
    </dataValidation>
    <dataValidation sqref="A49" showDropDown="0" showInputMessage="0" showErrorMessage="0" allowBlank="1" type="list">
      <formula1>=BedroomType_List</formula1>
    </dataValidation>
    <dataValidation sqref="B49" showDropDown="0" showInputMessage="0" showErrorMessage="0" allowBlank="1" type="list">
      <formula1>=RentBasis_List</formula1>
    </dataValidation>
    <dataValidation sqref="A50" showDropDown="0" showInputMessage="0" showErrorMessage="0" allowBlank="1" type="list">
      <formula1>=BedroomType_List</formula1>
    </dataValidation>
    <dataValidation sqref="B50" showDropDown="0" showInputMessage="0" showErrorMessage="0" allowBlank="1" type="list">
      <formula1>=RentBasis_List</formula1>
    </dataValidation>
    <dataValidation sqref="A51" showDropDown="0" showInputMessage="0" showErrorMessage="0" allowBlank="1" type="list">
      <formula1>=BedroomType_List</formula1>
    </dataValidation>
    <dataValidation sqref="B51" showDropDown="0" showInputMessage="0" showErrorMessage="0" allowBlank="1" type="list">
      <formula1>=RentBasis_List</formula1>
    </dataValidation>
    <dataValidation sqref="I106" showDropDown="0" showInputMessage="0" showErrorMessage="0" allowBlank="1" type="list">
      <formula1>=RentType_List</formula1>
    </dataValidation>
    <dataValidation sqref="I107" showDropDown="0" showInputMessage="0" showErrorMessage="0" allowBlank="1" type="list">
      <formula1>=RentType_List</formula1>
    </dataValidation>
    <dataValidation sqref="I108" showDropDown="0" showInputMessage="0" showErrorMessage="0" allowBlank="1" type="list">
      <formula1>=RentType_List</formula1>
    </dataValidation>
    <dataValidation sqref="I109" showDropDown="0" showInputMessage="0" showErrorMessage="0" allowBlank="1" type="list">
      <formula1>=RentType_List</formula1>
    </dataValidation>
    <dataValidation sqref="I110" showDropDown="0" showInputMessage="0" showErrorMessage="0" allowBlank="1" type="list">
      <formula1>=RentType_List</formula1>
    </dataValidation>
    <dataValidation sqref="I111" showDropDown="0" showInputMessage="0" showErrorMessage="0" allowBlank="1" type="list">
      <formula1>=RentType_List</formula1>
    </dataValidation>
    <dataValidation sqref="I112" showDropDown="0" showInputMessage="0" showErrorMessage="0" allowBlank="1" type="list">
      <formula1>=RentType_List</formula1>
    </dataValidation>
    <dataValidation sqref="I113" showDropDown="0" showInputMessage="0" showErrorMessage="0" allowBlank="1" type="list">
      <formula1>=RentType_List</formula1>
    </dataValidation>
    <dataValidation sqref="I114" showDropDown="0" showInputMessage="0" showErrorMessage="0" allowBlank="1" type="list">
      <formula1>=RentType_List</formula1>
    </dataValidation>
    <dataValidation sqref="I115" showDropDown="0" showInputMessage="0" showErrorMessage="0" allowBlank="1" type="list">
      <formula1>=RentType_List</formula1>
    </dataValidation>
    <dataValidation sqref="I116" showDropDown="0" showInputMessage="0" showErrorMessage="0" allowBlank="1" type="list">
      <formula1>=RentType_List</formula1>
    </dataValidation>
    <dataValidation sqref="I117" showDropDown="0" showInputMessage="0" showErrorMessage="0" allowBlank="1" type="list">
      <formula1>=RentType_List</formula1>
    </dataValidation>
    <dataValidation sqref="I118" showDropDown="0" showInputMessage="0" showErrorMessage="0" allowBlank="1" type="list">
      <formula1>=RentType_List</formula1>
    </dataValidation>
    <dataValidation sqref="I119" showDropDown="0" showInputMessage="0" showErrorMessage="0" allowBlank="1" type="list">
      <formula1>=RentType_List</formula1>
    </dataValidation>
    <dataValidation sqref="I120" showDropDown="0" showInputMessage="0" showErrorMessage="0" allowBlank="1" type="list">
      <formula1>=RentType_List</formula1>
    </dataValidation>
    <dataValidation sqref="E136" showDropDown="0" showInputMessage="0" showErrorMessage="0" allowBlank="1" type="list">
      <formula1>=CostCurve_List</formula1>
    </dataValidation>
    <dataValidation sqref="E137" showDropDown="0" showInputMessage="0" showErrorMessage="0" allowBlank="1" type="list">
      <formula1>=CostCurve_List</formula1>
    </dataValidation>
    <dataValidation sqref="E138" showDropDown="0" showInputMessage="0" showErrorMessage="0" allowBlank="1" type="list">
      <formula1>=CostCurve_List</formula1>
    </dataValidation>
    <dataValidation sqref="E139" showDropDown="0" showInputMessage="0" showErrorMessage="0" allowBlank="1" type="list">
      <formula1>=CostCurve_List</formula1>
    </dataValidation>
    <dataValidation sqref="E140" showDropDown="0" showInputMessage="0" showErrorMessage="0" allowBlank="1" type="list">
      <formula1>=CostCurve_List</formula1>
    </dataValidation>
    <dataValidation sqref="E141" showDropDown="0" showInputMessage="0" showErrorMessage="0" allowBlank="1" type="list">
      <formula1>=CostCurve_List</formula1>
    </dataValidation>
    <dataValidation sqref="E144" showDropDown="0" showInputMessage="0" showErrorMessage="0" allowBlank="1" type="list">
      <formula1>=CostCurve_List</formula1>
    </dataValidation>
    <dataValidation sqref="E145" showDropDown="0" showInputMessage="0" showErrorMessage="0" allowBlank="1" type="list">
      <formula1>=CostCurve_List</formula1>
    </dataValidation>
    <dataValidation sqref="E146" showDropDown="0" showInputMessage="0" showErrorMessage="0" allowBlank="1" type="list">
      <formula1>=CostCurve_List</formula1>
    </dataValidation>
    <dataValidation sqref="E147" showDropDown="0" showInputMessage="0" showErrorMessage="0" allowBlank="1" type="list">
      <formula1>=CostCurve_List</formula1>
    </dataValidation>
    <dataValidation sqref="E148" showDropDown="0" showInputMessage="0" showErrorMessage="0" allowBlank="1" type="list">
      <formula1>=CostCurve_List</formula1>
    </dataValidation>
    <dataValidation sqref="E149" showDropDown="0" showInputMessage="0" showErrorMessage="0" allowBlank="1" type="list">
      <formula1>=CostCurve_List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
  <sheetViews>
    <sheetView showGridLines="0" workbookViewId="0">
      <selection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65" t="inlineStr">
        <is>
          <t>MASTER ASSUMPTIONS  -  program-wide drivers</t>
        </is>
      </c>
    </row>
    <row r="2">
      <c r="A2" s="6" t="inlineStr">
        <is>
          <t>Program-wide drivers feed the Cockpit Rent Basis Engine. Blue = input.</t>
        </is>
      </c>
    </row>
    <row r="4">
      <c r="A4" s="18" t="inlineStr">
        <is>
          <t>4.1a  Rent Basis Engine inputs</t>
        </is>
      </c>
      <c r="B4" s="18" t="n"/>
      <c r="C4" s="18" t="n"/>
      <c r="D4" s="18" t="n"/>
    </row>
    <row r="5">
      <c r="A5" s="9" t="inlineStr">
        <is>
          <t>AMI (4-person household, annual)</t>
        </is>
      </c>
      <c r="B5" s="58" t="n">
        <v>110000</v>
      </c>
    </row>
    <row r="7">
      <c r="A7" s="7" t="inlineStr">
        <is>
          <t>Per-bedroom table</t>
        </is>
      </c>
    </row>
    <row r="8">
      <c r="A8" s="62" t="inlineStr">
        <is>
          <t>Bedroom</t>
        </is>
      </c>
      <c r="B8" s="62" t="inlineStr">
        <is>
          <t>FMR (mo)</t>
        </is>
      </c>
      <c r="C8" s="62" t="inlineStr">
        <is>
          <t>UtilAllow (mo)</t>
        </is>
      </c>
      <c r="D8" s="62" t="inlineStr">
        <is>
          <t>HHSizeFactor</t>
        </is>
      </c>
    </row>
    <row r="9">
      <c r="A9" s="63" t="inlineStr">
        <is>
          <t>Studio</t>
        </is>
      </c>
      <c r="B9" s="41" t="n">
        <v>1400</v>
      </c>
      <c r="C9" s="41" t="n">
        <v>85</v>
      </c>
      <c r="D9" s="66" t="n">
        <v>0.7</v>
      </c>
    </row>
    <row r="10">
      <c r="A10" s="63" t="inlineStr">
        <is>
          <t>1BR</t>
        </is>
      </c>
      <c r="B10" s="41" t="n">
        <v>1550</v>
      </c>
      <c r="C10" s="41" t="n">
        <v>110</v>
      </c>
      <c r="D10" s="66" t="n">
        <v>0.75</v>
      </c>
    </row>
    <row r="11">
      <c r="A11" s="63" t="inlineStr">
        <is>
          <t>1BR+Den</t>
        </is>
      </c>
      <c r="B11" s="41" t="n">
        <v>1650</v>
      </c>
      <c r="C11" s="41" t="n">
        <v>120</v>
      </c>
      <c r="D11" s="66" t="n">
        <v>0.75</v>
      </c>
    </row>
    <row r="12">
      <c r="A12" s="63" t="inlineStr">
        <is>
          <t>2BR</t>
        </is>
      </c>
      <c r="B12" s="41" t="n">
        <v>1850</v>
      </c>
      <c r="C12" s="41" t="n">
        <v>150</v>
      </c>
      <c r="D12" s="66" t="n">
        <v>0.9</v>
      </c>
    </row>
    <row r="13">
      <c r="A13" s="63" t="inlineStr">
        <is>
          <t>2BR+Den</t>
        </is>
      </c>
      <c r="B13" s="41" t="n">
        <v>1975</v>
      </c>
      <c r="C13" s="41" t="n">
        <v>160</v>
      </c>
      <c r="D13" s="66" t="n">
        <v>0.9</v>
      </c>
    </row>
    <row r="14">
      <c r="A14" s="63" t="inlineStr">
        <is>
          <t>3BR</t>
        </is>
      </c>
      <c r="B14" s="41" t="n">
        <v>2350</v>
      </c>
      <c r="C14" s="41" t="n">
        <v>195</v>
      </c>
      <c r="D14" s="66" t="n">
        <v>1.04</v>
      </c>
    </row>
    <row r="15">
      <c r="A15" s="63" t="inlineStr">
        <is>
          <t>3BR+Den</t>
        </is>
      </c>
      <c r="B15" s="41" t="n">
        <v>2500</v>
      </c>
      <c r="C15" s="41" t="n">
        <v>210</v>
      </c>
      <c r="D15" s="66" t="n">
        <v>1.04</v>
      </c>
    </row>
    <row r="16">
      <c r="A16" s="7" t="inlineStr">
        <is>
          <t>Basis factor table</t>
        </is>
      </c>
    </row>
    <row r="17">
      <c r="A17" s="62" t="inlineStr">
        <is>
          <t>Basis</t>
        </is>
      </c>
      <c r="B17" s="62" t="inlineStr">
        <is>
          <t>Tier %</t>
        </is>
      </c>
      <c r="C17" s="62" t="inlineStr">
        <is>
          <t>FMR_Factor</t>
        </is>
      </c>
    </row>
    <row r="18">
      <c r="A18" s="63" t="inlineStr">
        <is>
          <t>Market</t>
        </is>
      </c>
      <c r="B18" s="51" t="inlineStr"/>
      <c r="C18" s="66" t="inlineStr"/>
    </row>
    <row r="19">
      <c r="A19" s="63" t="inlineStr">
        <is>
          <t>Live Local</t>
        </is>
      </c>
      <c r="B19" s="51" t="n">
        <v>0.8</v>
      </c>
      <c r="C19" s="66" t="inlineStr"/>
    </row>
    <row r="20">
      <c r="A20" s="63" t="inlineStr">
        <is>
          <t>LIHTC</t>
        </is>
      </c>
      <c r="B20" s="51" t="n">
        <v>0.6</v>
      </c>
      <c r="C20" s="66" t="inlineStr"/>
    </row>
    <row r="21">
      <c r="A21" s="63" t="inlineStr">
        <is>
          <t>PBV</t>
        </is>
      </c>
      <c r="B21" s="51" t="inlineStr"/>
      <c r="C21" s="66" t="n">
        <v>1.1</v>
      </c>
    </row>
    <row r="22">
      <c r="A22" s="63" t="inlineStr">
        <is>
          <t>RAD</t>
        </is>
      </c>
      <c r="B22" s="51" t="inlineStr"/>
      <c r="C22" s="66" t="n">
        <v>1.05</v>
      </c>
    </row>
    <row r="24">
      <c r="A24" s="18" t="inlineStr">
        <is>
          <t>4.1b  Derived net rent / unit / month (by bedroom x basis)</t>
        </is>
      </c>
      <c r="B24" s="18" t="n"/>
      <c r="C24" s="18" t="n"/>
      <c r="D24" s="18" t="n"/>
      <c r="E24" s="18" t="n"/>
      <c r="F24" s="18" t="n"/>
    </row>
    <row r="25">
      <c r="A25" s="61" t="inlineStr">
        <is>
          <t>Bedroom</t>
        </is>
      </c>
      <c r="B25" s="62" t="inlineStr">
        <is>
          <t>Live Local</t>
        </is>
      </c>
      <c r="C25" s="62" t="inlineStr">
        <is>
          <t>LIHTC</t>
        </is>
      </c>
      <c r="D25" s="62" t="inlineStr">
        <is>
          <t>PBV</t>
        </is>
      </c>
      <c r="E25" s="62" t="inlineStr">
        <is>
          <t>RAD</t>
        </is>
      </c>
    </row>
    <row r="26">
      <c r="A26" s="63" t="inlineStr">
        <is>
          <t>Studio</t>
        </is>
      </c>
      <c r="B26" s="42">
        <f>MAX(0, AMI_4person*INDEX(HHSizeFactor_Table,MATCH($A26,Bedroom_Index,0))*INDEX(Tier_Table,MATCH("Live Local",Basis_Index,0))*0.3/12 - INDEX(UtilAllow_Table,MATCH($A26,Bedroom_Index,0)))</f>
        <v/>
      </c>
      <c r="C26" s="42">
        <f>MAX(0, AMI_4person*INDEX(HHSizeFactor_Table,MATCH($A26,Bedroom_Index,0))*INDEX(Tier_Table,MATCH("LIHTC",Basis_Index,0))*0.3/12 - INDEX(UtilAllow_Table,MATCH($A26,Bedroom_Index,0)))</f>
        <v/>
      </c>
      <c r="D26" s="42">
        <f>MAX(0, INDEX(FMR_Table,MATCH($A26,Bedroom_Index,0))*INDEX(FMRFactor_Table,MATCH("PBV",Basis_Index,0)) - INDEX(UtilAllow_Table,MATCH($A26,Bedroom_Index,0)))</f>
        <v/>
      </c>
      <c r="E26" s="42">
        <f>MAX(0, INDEX(FMR_Table,MATCH($A26,Bedroom_Index,0))*INDEX(FMRFactor_Table,MATCH("RAD",Basis_Index,0)) - INDEX(UtilAllow_Table,MATCH($A26,Bedroom_Index,0)))</f>
        <v/>
      </c>
    </row>
    <row r="27">
      <c r="A27" s="63" t="inlineStr">
        <is>
          <t>1BR</t>
        </is>
      </c>
      <c r="B27" s="42">
        <f>MAX(0, AMI_4person*INDEX(HHSizeFactor_Table,MATCH($A27,Bedroom_Index,0))*INDEX(Tier_Table,MATCH("Live Local",Basis_Index,0))*0.3/12 - INDEX(UtilAllow_Table,MATCH($A27,Bedroom_Index,0)))</f>
        <v/>
      </c>
      <c r="C27" s="42">
        <f>MAX(0, AMI_4person*INDEX(HHSizeFactor_Table,MATCH($A27,Bedroom_Index,0))*INDEX(Tier_Table,MATCH("LIHTC",Basis_Index,0))*0.3/12 - INDEX(UtilAllow_Table,MATCH($A27,Bedroom_Index,0)))</f>
        <v/>
      </c>
      <c r="D27" s="42">
        <f>MAX(0, INDEX(FMR_Table,MATCH($A27,Bedroom_Index,0))*INDEX(FMRFactor_Table,MATCH("PBV",Basis_Index,0)) - INDEX(UtilAllow_Table,MATCH($A27,Bedroom_Index,0)))</f>
        <v/>
      </c>
      <c r="E27" s="42">
        <f>MAX(0, INDEX(FMR_Table,MATCH($A27,Bedroom_Index,0))*INDEX(FMRFactor_Table,MATCH("RAD",Basis_Index,0)) - INDEX(UtilAllow_Table,MATCH($A27,Bedroom_Index,0)))</f>
        <v/>
      </c>
    </row>
    <row r="28">
      <c r="A28" s="63" t="inlineStr">
        <is>
          <t>1BR+Den</t>
        </is>
      </c>
      <c r="B28" s="42">
        <f>MAX(0, AMI_4person*INDEX(HHSizeFactor_Table,MATCH($A28,Bedroom_Index,0))*INDEX(Tier_Table,MATCH("Live Local",Basis_Index,0))*0.3/12 - INDEX(UtilAllow_Table,MATCH($A28,Bedroom_Index,0)))</f>
        <v/>
      </c>
      <c r="C28" s="42">
        <f>MAX(0, AMI_4person*INDEX(HHSizeFactor_Table,MATCH($A28,Bedroom_Index,0))*INDEX(Tier_Table,MATCH("LIHTC",Basis_Index,0))*0.3/12 - INDEX(UtilAllow_Table,MATCH($A28,Bedroom_Index,0)))</f>
        <v/>
      </c>
      <c r="D28" s="42">
        <f>MAX(0, INDEX(FMR_Table,MATCH($A28,Bedroom_Index,0))*INDEX(FMRFactor_Table,MATCH("PBV",Basis_Index,0)) - INDEX(UtilAllow_Table,MATCH($A28,Bedroom_Index,0)))</f>
        <v/>
      </c>
      <c r="E28" s="42">
        <f>MAX(0, INDEX(FMR_Table,MATCH($A28,Bedroom_Index,0))*INDEX(FMRFactor_Table,MATCH("RAD",Basis_Index,0)) - INDEX(UtilAllow_Table,MATCH($A28,Bedroom_Index,0)))</f>
        <v/>
      </c>
    </row>
    <row r="29">
      <c r="A29" s="63" t="inlineStr">
        <is>
          <t>2BR</t>
        </is>
      </c>
      <c r="B29" s="42">
        <f>MAX(0, AMI_4person*INDEX(HHSizeFactor_Table,MATCH($A29,Bedroom_Index,0))*INDEX(Tier_Table,MATCH("Live Local",Basis_Index,0))*0.3/12 - INDEX(UtilAllow_Table,MATCH($A29,Bedroom_Index,0)))</f>
        <v/>
      </c>
      <c r="C29" s="42">
        <f>MAX(0, AMI_4person*INDEX(HHSizeFactor_Table,MATCH($A29,Bedroom_Index,0))*INDEX(Tier_Table,MATCH("LIHTC",Basis_Index,0))*0.3/12 - INDEX(UtilAllow_Table,MATCH($A29,Bedroom_Index,0)))</f>
        <v/>
      </c>
      <c r="D29" s="42">
        <f>MAX(0, INDEX(FMR_Table,MATCH($A29,Bedroom_Index,0))*INDEX(FMRFactor_Table,MATCH("PBV",Basis_Index,0)) - INDEX(UtilAllow_Table,MATCH($A29,Bedroom_Index,0)))</f>
        <v/>
      </c>
      <c r="E29" s="42">
        <f>MAX(0, INDEX(FMR_Table,MATCH($A29,Bedroom_Index,0))*INDEX(FMRFactor_Table,MATCH("RAD",Basis_Index,0)) - INDEX(UtilAllow_Table,MATCH($A29,Bedroom_Index,0)))</f>
        <v/>
      </c>
    </row>
    <row r="30">
      <c r="A30" s="63" t="inlineStr">
        <is>
          <t>2BR+Den</t>
        </is>
      </c>
      <c r="B30" s="42">
        <f>MAX(0, AMI_4person*INDEX(HHSizeFactor_Table,MATCH($A30,Bedroom_Index,0))*INDEX(Tier_Table,MATCH("Live Local",Basis_Index,0))*0.3/12 - INDEX(UtilAllow_Table,MATCH($A30,Bedroom_Index,0)))</f>
        <v/>
      </c>
      <c r="C30" s="42">
        <f>MAX(0, AMI_4person*INDEX(HHSizeFactor_Table,MATCH($A30,Bedroom_Index,0))*INDEX(Tier_Table,MATCH("LIHTC",Basis_Index,0))*0.3/12 - INDEX(UtilAllow_Table,MATCH($A30,Bedroom_Index,0)))</f>
        <v/>
      </c>
      <c r="D30" s="42">
        <f>MAX(0, INDEX(FMR_Table,MATCH($A30,Bedroom_Index,0))*INDEX(FMRFactor_Table,MATCH("PBV",Basis_Index,0)) - INDEX(UtilAllow_Table,MATCH($A30,Bedroom_Index,0)))</f>
        <v/>
      </c>
      <c r="E30" s="42">
        <f>MAX(0, INDEX(FMR_Table,MATCH($A30,Bedroom_Index,0))*INDEX(FMRFactor_Table,MATCH("RAD",Basis_Index,0)) - INDEX(UtilAllow_Table,MATCH($A30,Bedroom_Index,0)))</f>
        <v/>
      </c>
    </row>
    <row r="31">
      <c r="A31" s="63" t="inlineStr">
        <is>
          <t>3BR</t>
        </is>
      </c>
      <c r="B31" s="42">
        <f>MAX(0, AMI_4person*INDEX(HHSizeFactor_Table,MATCH($A31,Bedroom_Index,0))*INDEX(Tier_Table,MATCH("Live Local",Basis_Index,0))*0.3/12 - INDEX(UtilAllow_Table,MATCH($A31,Bedroom_Index,0)))</f>
        <v/>
      </c>
      <c r="C31" s="42">
        <f>MAX(0, AMI_4person*INDEX(HHSizeFactor_Table,MATCH($A31,Bedroom_Index,0))*INDEX(Tier_Table,MATCH("LIHTC",Basis_Index,0))*0.3/12 - INDEX(UtilAllow_Table,MATCH($A31,Bedroom_Index,0)))</f>
        <v/>
      </c>
      <c r="D31" s="42">
        <f>MAX(0, INDEX(FMR_Table,MATCH($A31,Bedroom_Index,0))*INDEX(FMRFactor_Table,MATCH("PBV",Basis_Index,0)) - INDEX(UtilAllow_Table,MATCH($A31,Bedroom_Index,0)))</f>
        <v/>
      </c>
      <c r="E31" s="42">
        <f>MAX(0, INDEX(FMR_Table,MATCH($A31,Bedroom_Index,0))*INDEX(FMRFactor_Table,MATCH("RAD",Basis_Index,0)) - INDEX(UtilAllow_Table,MATCH($A31,Bedroom_Index,0)))</f>
        <v/>
      </c>
    </row>
    <row r="32">
      <c r="A32" s="63" t="inlineStr">
        <is>
          <t>3BR+Den</t>
        </is>
      </c>
      <c r="B32" s="42">
        <f>MAX(0, AMI_4person*INDEX(HHSizeFactor_Table,MATCH($A32,Bedroom_Index,0))*INDEX(Tier_Table,MATCH("Live Local",Basis_Index,0))*0.3/12 - INDEX(UtilAllow_Table,MATCH($A32,Bedroom_Index,0)))</f>
        <v/>
      </c>
      <c r="C32" s="42">
        <f>MAX(0, AMI_4person*INDEX(HHSizeFactor_Table,MATCH($A32,Bedroom_Index,0))*INDEX(Tier_Table,MATCH("LIHTC",Basis_Index,0))*0.3/12 - INDEX(UtilAllow_Table,MATCH($A32,Bedroom_Index,0)))</f>
        <v/>
      </c>
      <c r="D32" s="42">
        <f>MAX(0, INDEX(FMR_Table,MATCH($A32,Bedroom_Index,0))*INDEX(FMRFactor_Table,MATCH("PBV",Basis_Index,0)) - INDEX(UtilAllow_Table,MATCH($A32,Bedroom_Index,0)))</f>
        <v/>
      </c>
      <c r="E32" s="42">
        <f>MAX(0, INDEX(FMR_Table,MATCH($A32,Bedroom_Index,0))*INDEX(FMRFactor_Table,MATCH("RAD",Basis_Index,0)) - INDEX(UtilAllow_Table,MATCH($A32,Bedroom_Index,0)))</f>
        <v/>
      </c>
    </row>
    <row r="34">
      <c r="A34" s="6" t="inlineStr">
        <is>
          <t>Note: LIHTC / Live Local rents are AMI-based; PBV and RAD are HUD-FMR-based; Market is entered directly on the Cockpit.</t>
        </is>
      </c>
    </row>
    <row r="35">
      <c r="A35" s="6" t="inlineStr">
        <is>
          <t>Changing AMI or FMR re-solves every affordable rent across all phases automatically.</t>
        </is>
      </c>
    </row>
    <row r="37">
      <c r="A37" s="18" t="inlineStr">
        <is>
          <t>4.1c  Growth-rate defaults (Exhibit E)</t>
        </is>
      </c>
      <c r="B37" s="18" t="n"/>
      <c r="C37" s="18" t="n"/>
      <c r="D37" s="18" t="n"/>
      <c r="E37" s="18" t="n"/>
      <c r="F37" s="18" t="n"/>
    </row>
    <row r="38">
      <c r="A38" s="61" t="inlineStr">
        <is>
          <t>Category</t>
        </is>
      </c>
      <c r="B38" s="62" t="inlineStr">
        <is>
          <t>Year 1</t>
        </is>
      </c>
      <c r="C38" s="62" t="inlineStr">
        <is>
          <t>Year 2</t>
        </is>
      </c>
      <c r="D38" s="62" t="inlineStr">
        <is>
          <t>Year 3</t>
        </is>
      </c>
      <c r="E38" s="62" t="inlineStr">
        <is>
          <t>Year 4</t>
        </is>
      </c>
      <c r="F38" s="62" t="inlineStr">
        <is>
          <t>Year 5</t>
        </is>
      </c>
      <c r="G38" s="6" t="inlineStr">
        <is>
          <t>Yr5 = Yr5+</t>
        </is>
      </c>
    </row>
    <row r="39">
      <c r="A39" s="63" t="inlineStr">
        <is>
          <t>Market Rents</t>
        </is>
      </c>
      <c r="B39" s="51" t="n">
        <v>0.03</v>
      </c>
      <c r="C39" s="51" t="n">
        <v>0.03</v>
      </c>
      <c r="D39" s="51" t="n">
        <v>0.03</v>
      </c>
      <c r="E39" s="51" t="n">
        <v>0.03</v>
      </c>
      <c r="F39" s="51" t="n">
        <v>0.03</v>
      </c>
    </row>
    <row r="40">
      <c r="A40" s="63" t="inlineStr">
        <is>
          <t>Affordable Rents</t>
        </is>
      </c>
      <c r="B40" s="51" t="n">
        <v>0.025</v>
      </c>
      <c r="C40" s="51" t="n">
        <v>0.025</v>
      </c>
      <c r="D40" s="51" t="n">
        <v>0.025</v>
      </c>
      <c r="E40" s="51" t="n">
        <v>0.025</v>
      </c>
      <c r="F40" s="51" t="n">
        <v>0.025</v>
      </c>
    </row>
    <row r="41">
      <c r="A41" s="63" t="inlineStr">
        <is>
          <t>Retail Rents</t>
        </is>
      </c>
      <c r="B41" s="51" t="n">
        <v>0.025</v>
      </c>
      <c r="C41" s="51" t="n">
        <v>0.025</v>
      </c>
      <c r="D41" s="51" t="n">
        <v>0.025</v>
      </c>
      <c r="E41" s="51" t="n">
        <v>0.025</v>
      </c>
      <c r="F41" s="51" t="n">
        <v>0.025</v>
      </c>
    </row>
    <row r="42">
      <c r="A42" s="63" t="inlineStr">
        <is>
          <t>Other Income</t>
        </is>
      </c>
      <c r="B42" s="51" t="n">
        <v>0.025</v>
      </c>
      <c r="C42" s="51" t="n">
        <v>0.025</v>
      </c>
      <c r="D42" s="51" t="n">
        <v>0.025</v>
      </c>
      <c r="E42" s="51" t="n">
        <v>0.025</v>
      </c>
      <c r="F42" s="51" t="n">
        <v>0.025</v>
      </c>
    </row>
    <row r="43">
      <c r="A43" s="63" t="inlineStr">
        <is>
          <t>Operating Expenses</t>
        </is>
      </c>
      <c r="B43" s="51" t="n">
        <v>0.03</v>
      </c>
      <c r="C43" s="51" t="n">
        <v>0.03</v>
      </c>
      <c r="D43" s="51" t="n">
        <v>0.03</v>
      </c>
      <c r="E43" s="51" t="n">
        <v>0.03</v>
      </c>
      <c r="F43" s="51" t="n">
        <v>0.03</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G7"/>
  <sheetViews>
    <sheetView showGridLines="0" workbookViewId="0">
      <selection activeCell="A1" sqref="A1"/>
    </sheetView>
  </sheetViews>
  <sheetFormatPr baseColWidth="8" defaultRowHeight="15"/>
  <cols>
    <col width="9" customWidth="1" min="1" max="1"/>
  </cols>
  <sheetData>
    <row r="1">
      <c r="A1" s="67" t="inlineStr">
        <is>
          <t>DATABASE  -  system of record (flat snapshot ledger). One row = one saved Record for one Phase. Do not edit by hand.</t>
        </is>
      </c>
    </row>
    <row r="2">
      <c r="A2" s="9" t="inlineStr">
        <is>
          <t>MaxRecordsPerPhase</t>
        </is>
      </c>
      <c r="B2" s="68" t="n">
        <v>20</v>
      </c>
      <c r="C2" s="17" t="inlineStr">
        <is>
          <t>FIFO cap; on exceed, oldest record for that Phase is moved to Archive (see VBA). Trade-off: archive (recoverable) vs hard-delete.</t>
        </is>
      </c>
    </row>
    <row r="4">
      <c r="A4" s="69" t="inlineStr">
        <is>
          <t>RecordID</t>
        </is>
      </c>
      <c r="B4" s="69" t="inlineStr">
        <is>
          <t>PhaseID</t>
        </is>
      </c>
      <c r="C4" s="69" t="inlineStr">
        <is>
          <t>PhaseName</t>
        </is>
      </c>
      <c r="D4" s="69" t="inlineStr">
        <is>
          <t>Timestamp</t>
        </is>
      </c>
      <c r="E4" s="69" t="inlineStr">
        <is>
          <t>UpdatedBy</t>
        </is>
      </c>
      <c r="F4" s="69" t="inlineStr">
        <is>
          <t>Notes</t>
        </is>
      </c>
      <c r="G4" s="69" t="inlineStr">
        <is>
          <t>PhaseName_in</t>
        </is>
      </c>
      <c r="H4" s="69" t="inlineStr">
        <is>
          <t>Site_in</t>
        </is>
      </c>
      <c r="I4" s="69" t="inlineStr">
        <is>
          <t>HasResidential</t>
        </is>
      </c>
      <c r="J4" s="69" t="inlineStr">
        <is>
          <t>HasCommercial</t>
        </is>
      </c>
      <c r="K4" s="69" t="inlineStr">
        <is>
          <t>Stories</t>
        </is>
      </c>
      <c r="L4" s="69" t="inlineStr">
        <is>
          <t>GSF</t>
        </is>
      </c>
      <c r="M4" s="69" t="inlineStr">
        <is>
          <t>NetRentableArea</t>
        </is>
      </c>
      <c r="N4" s="69" t="inlineStr">
        <is>
          <t>ParkingSpaces</t>
        </is>
      </c>
      <c r="O4" s="69" t="inlineStr">
        <is>
          <t>LandArea</t>
        </is>
      </c>
      <c r="P4" s="69" t="inlineStr">
        <is>
          <t>ClosingDate</t>
        </is>
      </c>
      <c r="Q4" s="69" t="inlineStr">
        <is>
          <t>off_ConstStart</t>
        </is>
      </c>
      <c r="R4" s="69" t="inlineStr">
        <is>
          <t>off_InitialOcc</t>
        </is>
      </c>
      <c r="S4" s="69" t="inlineStr">
        <is>
          <t>off_ConstEnd</t>
        </is>
      </c>
      <c r="T4" s="69" t="inlineStr">
        <is>
          <t>off_Stab</t>
        </is>
      </c>
      <c r="U4" s="69" t="inlineStr">
        <is>
          <t>off_Exit</t>
        </is>
      </c>
      <c r="V4" s="69" t="inlineStr">
        <is>
          <t>PreleasedUnits</t>
        </is>
      </c>
      <c r="W4" s="69" t="inlineStr">
        <is>
          <t>LeaseUpPace</t>
        </is>
      </c>
      <c r="X4" s="69" t="inlineStr">
        <is>
          <t>InitialDeliveryUnits</t>
        </is>
      </c>
      <c r="Y4" s="69" t="inlineStr">
        <is>
          <t>UM01_Bed</t>
        </is>
      </c>
      <c r="Z4" s="69" t="inlineStr">
        <is>
          <t>UM01_Basis</t>
        </is>
      </c>
      <c r="AA4" s="69" t="inlineStr">
        <is>
          <t>UM01_Units</t>
        </is>
      </c>
      <c r="AB4" s="69" t="inlineStr">
        <is>
          <t>UM01_AvgSF</t>
        </is>
      </c>
      <c r="AC4" s="69" t="inlineStr">
        <is>
          <t>UM01_MktOvr</t>
        </is>
      </c>
      <c r="AD4" s="69" t="inlineStr">
        <is>
          <t>UM02_Bed</t>
        </is>
      </c>
      <c r="AE4" s="69" t="inlineStr">
        <is>
          <t>UM02_Basis</t>
        </is>
      </c>
      <c r="AF4" s="69" t="inlineStr">
        <is>
          <t>UM02_Units</t>
        </is>
      </c>
      <c r="AG4" s="69" t="inlineStr">
        <is>
          <t>UM02_AvgSF</t>
        </is>
      </c>
      <c r="AH4" s="69" t="inlineStr">
        <is>
          <t>UM02_MktOvr</t>
        </is>
      </c>
      <c r="AI4" s="69" t="inlineStr">
        <is>
          <t>UM03_Bed</t>
        </is>
      </c>
      <c r="AJ4" s="69" t="inlineStr">
        <is>
          <t>UM03_Basis</t>
        </is>
      </c>
      <c r="AK4" s="69" t="inlineStr">
        <is>
          <t>UM03_Units</t>
        </is>
      </c>
      <c r="AL4" s="69" t="inlineStr">
        <is>
          <t>UM03_AvgSF</t>
        </is>
      </c>
      <c r="AM4" s="69" t="inlineStr">
        <is>
          <t>UM03_MktOvr</t>
        </is>
      </c>
      <c r="AN4" s="69" t="inlineStr">
        <is>
          <t>UM04_Bed</t>
        </is>
      </c>
      <c r="AO4" s="69" t="inlineStr">
        <is>
          <t>UM04_Basis</t>
        </is>
      </c>
      <c r="AP4" s="69" t="inlineStr">
        <is>
          <t>UM04_Units</t>
        </is>
      </c>
      <c r="AQ4" s="69" t="inlineStr">
        <is>
          <t>UM04_AvgSF</t>
        </is>
      </c>
      <c r="AR4" s="69" t="inlineStr">
        <is>
          <t>UM04_MktOvr</t>
        </is>
      </c>
      <c r="AS4" s="69" t="inlineStr">
        <is>
          <t>UM05_Bed</t>
        </is>
      </c>
      <c r="AT4" s="69" t="inlineStr">
        <is>
          <t>UM05_Basis</t>
        </is>
      </c>
      <c r="AU4" s="69" t="inlineStr">
        <is>
          <t>UM05_Units</t>
        </is>
      </c>
      <c r="AV4" s="69" t="inlineStr">
        <is>
          <t>UM05_AvgSF</t>
        </is>
      </c>
      <c r="AW4" s="69" t="inlineStr">
        <is>
          <t>UM05_MktOvr</t>
        </is>
      </c>
      <c r="AX4" s="69" t="inlineStr">
        <is>
          <t>UM06_Bed</t>
        </is>
      </c>
      <c r="AY4" s="69" t="inlineStr">
        <is>
          <t>UM06_Basis</t>
        </is>
      </c>
      <c r="AZ4" s="69" t="inlineStr">
        <is>
          <t>UM06_Units</t>
        </is>
      </c>
      <c r="BA4" s="69" t="inlineStr">
        <is>
          <t>UM06_AvgSF</t>
        </is>
      </c>
      <c r="BB4" s="69" t="inlineStr">
        <is>
          <t>UM06_MktOvr</t>
        </is>
      </c>
      <c r="BC4" s="69" t="inlineStr">
        <is>
          <t>UM07_Bed</t>
        </is>
      </c>
      <c r="BD4" s="69" t="inlineStr">
        <is>
          <t>UM07_Basis</t>
        </is>
      </c>
      <c r="BE4" s="69" t="inlineStr">
        <is>
          <t>UM07_Units</t>
        </is>
      </c>
      <c r="BF4" s="69" t="inlineStr">
        <is>
          <t>UM07_AvgSF</t>
        </is>
      </c>
      <c r="BG4" s="69" t="inlineStr">
        <is>
          <t>UM07_MktOvr</t>
        </is>
      </c>
      <c r="BH4" s="69" t="inlineStr">
        <is>
          <t>UM08_Bed</t>
        </is>
      </c>
      <c r="BI4" s="69" t="inlineStr">
        <is>
          <t>UM08_Basis</t>
        </is>
      </c>
      <c r="BJ4" s="69" t="inlineStr">
        <is>
          <t>UM08_Units</t>
        </is>
      </c>
      <c r="BK4" s="69" t="inlineStr">
        <is>
          <t>UM08_AvgSF</t>
        </is>
      </c>
      <c r="BL4" s="69" t="inlineStr">
        <is>
          <t>UM08_MktOvr</t>
        </is>
      </c>
      <c r="BM4" s="69" t="inlineStr">
        <is>
          <t>UM09_Bed</t>
        </is>
      </c>
      <c r="BN4" s="69" t="inlineStr">
        <is>
          <t>UM09_Basis</t>
        </is>
      </c>
      <c r="BO4" s="69" t="inlineStr">
        <is>
          <t>UM09_Units</t>
        </is>
      </c>
      <c r="BP4" s="69" t="inlineStr">
        <is>
          <t>UM09_AvgSF</t>
        </is>
      </c>
      <c r="BQ4" s="69" t="inlineStr">
        <is>
          <t>UM09_MktOvr</t>
        </is>
      </c>
      <c r="BR4" s="69" t="inlineStr">
        <is>
          <t>UM10_Bed</t>
        </is>
      </c>
      <c r="BS4" s="69" t="inlineStr">
        <is>
          <t>UM10_Basis</t>
        </is>
      </c>
      <c r="BT4" s="69" t="inlineStr">
        <is>
          <t>UM10_Units</t>
        </is>
      </c>
      <c r="BU4" s="69" t="inlineStr">
        <is>
          <t>UM10_AvgSF</t>
        </is>
      </c>
      <c r="BV4" s="69" t="inlineStr">
        <is>
          <t>UM10_MktOvr</t>
        </is>
      </c>
      <c r="BW4" s="69" t="inlineStr">
        <is>
          <t>UM11_Bed</t>
        </is>
      </c>
      <c r="BX4" s="69" t="inlineStr">
        <is>
          <t>UM11_Basis</t>
        </is>
      </c>
      <c r="BY4" s="69" t="inlineStr">
        <is>
          <t>UM11_Units</t>
        </is>
      </c>
      <c r="BZ4" s="69" t="inlineStr">
        <is>
          <t>UM11_AvgSF</t>
        </is>
      </c>
      <c r="CA4" s="69" t="inlineStr">
        <is>
          <t>UM11_MktOvr</t>
        </is>
      </c>
      <c r="CB4" s="69" t="inlineStr">
        <is>
          <t>UM12_Bed</t>
        </is>
      </c>
      <c r="CC4" s="69" t="inlineStr">
        <is>
          <t>UM12_Basis</t>
        </is>
      </c>
      <c r="CD4" s="69" t="inlineStr">
        <is>
          <t>UM12_Units</t>
        </is>
      </c>
      <c r="CE4" s="69" t="inlineStr">
        <is>
          <t>UM12_AvgSF</t>
        </is>
      </c>
      <c r="CF4" s="69" t="inlineStr">
        <is>
          <t>UM12_MktOvr</t>
        </is>
      </c>
      <c r="CG4" s="69" t="inlineStr">
        <is>
          <t>UM13_Bed</t>
        </is>
      </c>
      <c r="CH4" s="69" t="inlineStr">
        <is>
          <t>UM13_Basis</t>
        </is>
      </c>
      <c r="CI4" s="69" t="inlineStr">
        <is>
          <t>UM13_Units</t>
        </is>
      </c>
      <c r="CJ4" s="69" t="inlineStr">
        <is>
          <t>UM13_AvgSF</t>
        </is>
      </c>
      <c r="CK4" s="69" t="inlineStr">
        <is>
          <t>UM13_MktOvr</t>
        </is>
      </c>
      <c r="CL4" s="69" t="inlineStr">
        <is>
          <t>UM14_Bed</t>
        </is>
      </c>
      <c r="CM4" s="69" t="inlineStr">
        <is>
          <t>UM14_Basis</t>
        </is>
      </c>
      <c r="CN4" s="69" t="inlineStr">
        <is>
          <t>UM14_Units</t>
        </is>
      </c>
      <c r="CO4" s="69" t="inlineStr">
        <is>
          <t>UM14_AvgSF</t>
        </is>
      </c>
      <c r="CP4" s="69" t="inlineStr">
        <is>
          <t>UM14_MktOvr</t>
        </is>
      </c>
      <c r="CQ4" s="69" t="inlineStr">
        <is>
          <t>UM15_Bed</t>
        </is>
      </c>
      <c r="CR4" s="69" t="inlineStr">
        <is>
          <t>UM15_Basis</t>
        </is>
      </c>
      <c r="CS4" s="69" t="inlineStr">
        <is>
          <t>UM15_Units</t>
        </is>
      </c>
      <c r="CT4" s="69" t="inlineStr">
        <is>
          <t>UM15_AvgSF</t>
        </is>
      </c>
      <c r="CU4" s="69" t="inlineStr">
        <is>
          <t>UM15_MktOvr</t>
        </is>
      </c>
      <c r="CV4" s="69" t="inlineStr">
        <is>
          <t>TurnoverRate</t>
        </is>
      </c>
      <c r="CW4" s="69" t="inlineStr">
        <is>
          <t>VacancyLossPct</t>
        </is>
      </c>
      <c r="CX4" s="69" t="inlineStr">
        <is>
          <t>CollectionLossPct</t>
        </is>
      </c>
      <c r="CY4" s="69" t="inlineStr">
        <is>
          <t>ModelUnits</t>
        </is>
      </c>
      <c r="CZ4" s="69" t="inlineStr">
        <is>
          <t>NonRevenueUnits</t>
        </is>
      </c>
      <c r="DA4" s="69" t="inlineStr">
        <is>
          <t>NonRevDiscountPct</t>
        </is>
      </c>
      <c r="DB4" s="69" t="inlineStr">
        <is>
          <t>LUConcMonths</t>
        </is>
      </c>
      <c r="DC4" s="69" t="inlineStr">
        <is>
          <t>LUConcPctLeases</t>
        </is>
      </c>
      <c r="DD4" s="69" t="inlineStr">
        <is>
          <t>StabConcMonths</t>
        </is>
      </c>
      <c r="DE4" s="69" t="inlineStr">
        <is>
          <t>StabConcPctLeases</t>
        </is>
      </c>
      <c r="DF4" s="69" t="inlineStr">
        <is>
          <t>OtherIncome_Cnt</t>
        </is>
      </c>
      <c r="DG4" s="69" t="inlineStr">
        <is>
          <t>OtherIncome_Capture</t>
        </is>
      </c>
      <c r="DH4" s="69" t="inlineStr">
        <is>
          <t>OtherIncome_Rate</t>
        </is>
      </c>
      <c r="DI4" s="69" t="inlineStr">
        <is>
          <t>ParkingRev_Cnt</t>
        </is>
      </c>
      <c r="DJ4" s="69" t="inlineStr">
        <is>
          <t>ParkingRev_Capture</t>
        </is>
      </c>
      <c r="DK4" s="69" t="inlineStr">
        <is>
          <t>ParkingRev_Rate</t>
        </is>
      </c>
      <c r="DL4" s="69" t="inlineStr">
        <is>
          <t>StorageRev_Cnt</t>
        </is>
      </c>
      <c r="DM4" s="69" t="inlineStr">
        <is>
          <t>StorageRev_Capture</t>
        </is>
      </c>
      <c r="DN4" s="69" t="inlineStr">
        <is>
          <t>StorageRev_Rate</t>
        </is>
      </c>
      <c r="DO4" s="69" t="inlineStr">
        <is>
          <t>RUBS_Cnt</t>
        </is>
      </c>
      <c r="DP4" s="69" t="inlineStr">
        <is>
          <t>RUBS_Capture</t>
        </is>
      </c>
      <c r="DQ4" s="69" t="inlineStr">
        <is>
          <t>RUBS_Rate</t>
        </is>
      </c>
      <c r="DR4" s="69" t="inlineStr">
        <is>
          <t>MgmtFeePct</t>
        </is>
      </c>
      <c r="DS4" s="69" t="inlineStr">
        <is>
          <t>Payroll_FixedPct</t>
        </is>
      </c>
      <c r="DT4" s="69" t="inlineStr">
        <is>
          <t>Payroll_PerUnit</t>
        </is>
      </c>
      <c r="DU4" s="69" t="inlineStr">
        <is>
          <t>Marketing_FixedPct</t>
        </is>
      </c>
      <c r="DV4" s="69" t="inlineStr">
        <is>
          <t>Marketing_PerUnit</t>
        </is>
      </c>
      <c r="DW4" s="69" t="inlineStr">
        <is>
          <t>RM_FixedPct</t>
        </is>
      </c>
      <c r="DX4" s="69" t="inlineStr">
        <is>
          <t>RM_PerUnit</t>
        </is>
      </c>
      <c r="DY4" s="69" t="inlineStr">
        <is>
          <t>Turnover_FixedPct</t>
        </is>
      </c>
      <c r="DZ4" s="69" t="inlineStr">
        <is>
          <t>Turnover_PerUnit</t>
        </is>
      </c>
      <c r="EA4" s="69" t="inlineStr">
        <is>
          <t>GA_FixedPct</t>
        </is>
      </c>
      <c r="EB4" s="69" t="inlineStr">
        <is>
          <t>GA_PerUnit</t>
        </is>
      </c>
      <c r="EC4" s="69" t="inlineStr">
        <is>
          <t>ContractSvcs_FixedPct</t>
        </is>
      </c>
      <c r="ED4" s="69" t="inlineStr">
        <is>
          <t>ContractSvcs_PerUnit</t>
        </is>
      </c>
      <c r="EE4" s="69" t="inlineStr">
        <is>
          <t>Utilities_FixedPct</t>
        </is>
      </c>
      <c r="EF4" s="69" t="inlineStr">
        <is>
          <t>Utilities_PerUnit</t>
        </is>
      </c>
      <c r="EG4" s="69" t="inlineStr">
        <is>
          <t>Insurance_FixedPct</t>
        </is>
      </c>
      <c r="EH4" s="69" t="inlineStr">
        <is>
          <t>Insurance_PerUnit</t>
        </is>
      </c>
      <c r="EI4" s="69" t="inlineStr">
        <is>
          <t>ReplReserve_FixedPct</t>
        </is>
      </c>
      <c r="EJ4" s="69" t="inlineStr">
        <is>
          <t>ReplReserve_PerUnit</t>
        </is>
      </c>
      <c r="EK4" s="69" t="inlineStr">
        <is>
          <t>RETax_Market</t>
        </is>
      </c>
      <c r="EL4" s="69" t="inlineStr">
        <is>
          <t>RETax_Afford</t>
        </is>
      </c>
      <c r="EM4" s="69" t="inlineStr">
        <is>
          <t>Comm_TotalSF</t>
        </is>
      </c>
      <c r="EN4" s="69" t="inlineStr">
        <is>
          <t>Comm_StaticPct</t>
        </is>
      </c>
      <c r="EO4" s="69" t="inlineStr">
        <is>
          <t>Comm_GenVac</t>
        </is>
      </c>
      <c r="EP4" s="69" t="inlineStr">
        <is>
          <t>Comm_VarPct</t>
        </is>
      </c>
      <c r="EQ4" s="69" t="inlineStr">
        <is>
          <t>Comm_VarPSF</t>
        </is>
      </c>
      <c r="ER4" s="69" t="inlineStr">
        <is>
          <t>Comm_InsPSF</t>
        </is>
      </c>
      <c r="ES4" s="69" t="inlineStr">
        <is>
          <t>Comm_TaxPSF</t>
        </is>
      </c>
      <c r="ET4" s="69" t="inlineStr">
        <is>
          <t>Comm_MgmtPct</t>
        </is>
      </c>
      <c r="EU4" s="69" t="inlineStr">
        <is>
          <t>RR01_Name</t>
        </is>
      </c>
      <c r="EV4" s="69" t="inlineStr">
        <is>
          <t>RR01_SF</t>
        </is>
      </c>
      <c r="EW4" s="69" t="inlineStr">
        <is>
          <t>RR01_StartMo</t>
        </is>
      </c>
      <c r="EX4" s="69" t="inlineStr">
        <is>
          <t>RR01_LCD</t>
        </is>
      </c>
      <c r="EY4" s="69" t="inlineStr">
        <is>
          <t>RR01_Term</t>
        </is>
      </c>
      <c r="EZ4" s="69" t="inlineStr">
        <is>
          <t>RR01_RentPSF</t>
        </is>
      </c>
      <c r="FA4" s="69" t="inlineStr">
        <is>
          <t>RR01_RentType</t>
        </is>
      </c>
      <c r="FB4" s="69" t="inlineStr">
        <is>
          <t>RR01_Escal</t>
        </is>
      </c>
      <c r="FC4" s="69" t="inlineStr">
        <is>
          <t>RR01_TIPSF</t>
        </is>
      </c>
      <c r="FD4" s="69" t="inlineStr">
        <is>
          <t>RR01_LCPct</t>
        </is>
      </c>
      <c r="FE4" s="69" t="inlineStr">
        <is>
          <t>RR01_FreeRentMo</t>
        </is>
      </c>
      <c r="FF4" s="69" t="inlineStr">
        <is>
          <t>RR01_FreeStart</t>
        </is>
      </c>
      <c r="FG4" s="69" t="inlineStr">
        <is>
          <t>RR01_Abatement</t>
        </is>
      </c>
      <c r="FH4" s="69" t="inlineStr">
        <is>
          <t>RR02_Name</t>
        </is>
      </c>
      <c r="FI4" s="69" t="inlineStr">
        <is>
          <t>RR02_SF</t>
        </is>
      </c>
      <c r="FJ4" s="69" t="inlineStr">
        <is>
          <t>RR02_StartMo</t>
        </is>
      </c>
      <c r="FK4" s="69" t="inlineStr">
        <is>
          <t>RR02_LCD</t>
        </is>
      </c>
      <c r="FL4" s="69" t="inlineStr">
        <is>
          <t>RR02_Term</t>
        </is>
      </c>
      <c r="FM4" s="69" t="inlineStr">
        <is>
          <t>RR02_RentPSF</t>
        </is>
      </c>
      <c r="FN4" s="69" t="inlineStr">
        <is>
          <t>RR02_RentType</t>
        </is>
      </c>
      <c r="FO4" s="69" t="inlineStr">
        <is>
          <t>RR02_Escal</t>
        </is>
      </c>
      <c r="FP4" s="69" t="inlineStr">
        <is>
          <t>RR02_TIPSF</t>
        </is>
      </c>
      <c r="FQ4" s="69" t="inlineStr">
        <is>
          <t>RR02_LCPct</t>
        </is>
      </c>
      <c r="FR4" s="69" t="inlineStr">
        <is>
          <t>RR02_FreeRentMo</t>
        </is>
      </c>
      <c r="FS4" s="69" t="inlineStr">
        <is>
          <t>RR02_FreeStart</t>
        </is>
      </c>
      <c r="FT4" s="69" t="inlineStr">
        <is>
          <t>RR02_Abatement</t>
        </is>
      </c>
      <c r="FU4" s="69" t="inlineStr">
        <is>
          <t>RR03_Name</t>
        </is>
      </c>
      <c r="FV4" s="69" t="inlineStr">
        <is>
          <t>RR03_SF</t>
        </is>
      </c>
      <c r="FW4" s="69" t="inlineStr">
        <is>
          <t>RR03_StartMo</t>
        </is>
      </c>
      <c r="FX4" s="69" t="inlineStr">
        <is>
          <t>RR03_LCD</t>
        </is>
      </c>
      <c r="FY4" s="69" t="inlineStr">
        <is>
          <t>RR03_Term</t>
        </is>
      </c>
      <c r="FZ4" s="69" t="inlineStr">
        <is>
          <t>RR03_RentPSF</t>
        </is>
      </c>
      <c r="GA4" s="69" t="inlineStr">
        <is>
          <t>RR03_RentType</t>
        </is>
      </c>
      <c r="GB4" s="69" t="inlineStr">
        <is>
          <t>RR03_Escal</t>
        </is>
      </c>
      <c r="GC4" s="69" t="inlineStr">
        <is>
          <t>RR03_TIPSF</t>
        </is>
      </c>
      <c r="GD4" s="69" t="inlineStr">
        <is>
          <t>RR03_LCPct</t>
        </is>
      </c>
      <c r="GE4" s="69" t="inlineStr">
        <is>
          <t>RR03_FreeRentMo</t>
        </is>
      </c>
      <c r="GF4" s="69" t="inlineStr">
        <is>
          <t>RR03_FreeStart</t>
        </is>
      </c>
      <c r="GG4" s="69" t="inlineStr">
        <is>
          <t>RR03_Abatement</t>
        </is>
      </c>
      <c r="GH4" s="69" t="inlineStr">
        <is>
          <t>RR04_Name</t>
        </is>
      </c>
      <c r="GI4" s="69" t="inlineStr">
        <is>
          <t>RR04_SF</t>
        </is>
      </c>
      <c r="GJ4" s="69" t="inlineStr">
        <is>
          <t>RR04_StartMo</t>
        </is>
      </c>
      <c r="GK4" s="69" t="inlineStr">
        <is>
          <t>RR04_LCD</t>
        </is>
      </c>
      <c r="GL4" s="69" t="inlineStr">
        <is>
          <t>RR04_Term</t>
        </is>
      </c>
      <c r="GM4" s="69" t="inlineStr">
        <is>
          <t>RR04_RentPSF</t>
        </is>
      </c>
      <c r="GN4" s="69" t="inlineStr">
        <is>
          <t>RR04_RentType</t>
        </is>
      </c>
      <c r="GO4" s="69" t="inlineStr">
        <is>
          <t>RR04_Escal</t>
        </is>
      </c>
      <c r="GP4" s="69" t="inlineStr">
        <is>
          <t>RR04_TIPSF</t>
        </is>
      </c>
      <c r="GQ4" s="69" t="inlineStr">
        <is>
          <t>RR04_LCPct</t>
        </is>
      </c>
      <c r="GR4" s="69" t="inlineStr">
        <is>
          <t>RR04_FreeRentMo</t>
        </is>
      </c>
      <c r="GS4" s="69" t="inlineStr">
        <is>
          <t>RR04_FreeStart</t>
        </is>
      </c>
      <c r="GT4" s="69" t="inlineStr">
        <is>
          <t>RR04_Abatement</t>
        </is>
      </c>
      <c r="GU4" s="69" t="inlineStr">
        <is>
          <t>RR05_Name</t>
        </is>
      </c>
      <c r="GV4" s="69" t="inlineStr">
        <is>
          <t>RR05_SF</t>
        </is>
      </c>
      <c r="GW4" s="69" t="inlineStr">
        <is>
          <t>RR05_StartMo</t>
        </is>
      </c>
      <c r="GX4" s="69" t="inlineStr">
        <is>
          <t>RR05_LCD</t>
        </is>
      </c>
      <c r="GY4" s="69" t="inlineStr">
        <is>
          <t>RR05_Term</t>
        </is>
      </c>
      <c r="GZ4" s="69" t="inlineStr">
        <is>
          <t>RR05_RentPSF</t>
        </is>
      </c>
      <c r="HA4" s="69" t="inlineStr">
        <is>
          <t>RR05_RentType</t>
        </is>
      </c>
      <c r="HB4" s="69" t="inlineStr">
        <is>
          <t>RR05_Escal</t>
        </is>
      </c>
      <c r="HC4" s="69" t="inlineStr">
        <is>
          <t>RR05_TIPSF</t>
        </is>
      </c>
      <c r="HD4" s="69" t="inlineStr">
        <is>
          <t>RR05_LCPct</t>
        </is>
      </c>
      <c r="HE4" s="69" t="inlineStr">
        <is>
          <t>RR05_FreeRentMo</t>
        </is>
      </c>
      <c r="HF4" s="69" t="inlineStr">
        <is>
          <t>RR05_FreeStart</t>
        </is>
      </c>
      <c r="HG4" s="69" t="inlineStr">
        <is>
          <t>RR05_Abatement</t>
        </is>
      </c>
      <c r="HH4" s="69" t="inlineStr">
        <is>
          <t>RR06_Name</t>
        </is>
      </c>
      <c r="HI4" s="69" t="inlineStr">
        <is>
          <t>RR06_SF</t>
        </is>
      </c>
      <c r="HJ4" s="69" t="inlineStr">
        <is>
          <t>RR06_StartMo</t>
        </is>
      </c>
      <c r="HK4" s="69" t="inlineStr">
        <is>
          <t>RR06_LCD</t>
        </is>
      </c>
      <c r="HL4" s="69" t="inlineStr">
        <is>
          <t>RR06_Term</t>
        </is>
      </c>
      <c r="HM4" s="69" t="inlineStr">
        <is>
          <t>RR06_RentPSF</t>
        </is>
      </c>
      <c r="HN4" s="69" t="inlineStr">
        <is>
          <t>RR06_RentType</t>
        </is>
      </c>
      <c r="HO4" s="69" t="inlineStr">
        <is>
          <t>RR06_Escal</t>
        </is>
      </c>
      <c r="HP4" s="69" t="inlineStr">
        <is>
          <t>RR06_TIPSF</t>
        </is>
      </c>
      <c r="HQ4" s="69" t="inlineStr">
        <is>
          <t>RR06_LCPct</t>
        </is>
      </c>
      <c r="HR4" s="69" t="inlineStr">
        <is>
          <t>RR06_FreeRentMo</t>
        </is>
      </c>
      <c r="HS4" s="69" t="inlineStr">
        <is>
          <t>RR06_FreeStart</t>
        </is>
      </c>
      <c r="HT4" s="69" t="inlineStr">
        <is>
          <t>RR06_Abatement</t>
        </is>
      </c>
      <c r="HU4" s="69" t="inlineStr">
        <is>
          <t>RR07_Name</t>
        </is>
      </c>
      <c r="HV4" s="69" t="inlineStr">
        <is>
          <t>RR07_SF</t>
        </is>
      </c>
      <c r="HW4" s="69" t="inlineStr">
        <is>
          <t>RR07_StartMo</t>
        </is>
      </c>
      <c r="HX4" s="69" t="inlineStr">
        <is>
          <t>RR07_LCD</t>
        </is>
      </c>
      <c r="HY4" s="69" t="inlineStr">
        <is>
          <t>RR07_Term</t>
        </is>
      </c>
      <c r="HZ4" s="69" t="inlineStr">
        <is>
          <t>RR07_RentPSF</t>
        </is>
      </c>
      <c r="IA4" s="69" t="inlineStr">
        <is>
          <t>RR07_RentType</t>
        </is>
      </c>
      <c r="IB4" s="69" t="inlineStr">
        <is>
          <t>RR07_Escal</t>
        </is>
      </c>
      <c r="IC4" s="69" t="inlineStr">
        <is>
          <t>RR07_TIPSF</t>
        </is>
      </c>
      <c r="ID4" s="69" t="inlineStr">
        <is>
          <t>RR07_LCPct</t>
        </is>
      </c>
      <c r="IE4" s="69" t="inlineStr">
        <is>
          <t>RR07_FreeRentMo</t>
        </is>
      </c>
      <c r="IF4" s="69" t="inlineStr">
        <is>
          <t>RR07_FreeStart</t>
        </is>
      </c>
      <c r="IG4" s="69" t="inlineStr">
        <is>
          <t>RR07_Abatement</t>
        </is>
      </c>
      <c r="IH4" s="69" t="inlineStr">
        <is>
          <t>RR08_Name</t>
        </is>
      </c>
      <c r="II4" s="69" t="inlineStr">
        <is>
          <t>RR08_SF</t>
        </is>
      </c>
      <c r="IJ4" s="69" t="inlineStr">
        <is>
          <t>RR08_StartMo</t>
        </is>
      </c>
      <c r="IK4" s="69" t="inlineStr">
        <is>
          <t>RR08_LCD</t>
        </is>
      </c>
      <c r="IL4" s="69" t="inlineStr">
        <is>
          <t>RR08_Term</t>
        </is>
      </c>
      <c r="IM4" s="69" t="inlineStr">
        <is>
          <t>RR08_RentPSF</t>
        </is>
      </c>
      <c r="IN4" s="69" t="inlineStr">
        <is>
          <t>RR08_RentType</t>
        </is>
      </c>
      <c r="IO4" s="69" t="inlineStr">
        <is>
          <t>RR08_Escal</t>
        </is>
      </c>
      <c r="IP4" s="69" t="inlineStr">
        <is>
          <t>RR08_TIPSF</t>
        </is>
      </c>
      <c r="IQ4" s="69" t="inlineStr">
        <is>
          <t>RR08_LCPct</t>
        </is>
      </c>
      <c r="IR4" s="69" t="inlineStr">
        <is>
          <t>RR08_FreeRentMo</t>
        </is>
      </c>
      <c r="IS4" s="69" t="inlineStr">
        <is>
          <t>RR08_FreeStart</t>
        </is>
      </c>
      <c r="IT4" s="69" t="inlineStr">
        <is>
          <t>RR08_Abatement</t>
        </is>
      </c>
      <c r="IU4" s="69" t="inlineStr">
        <is>
          <t>RR09_Name</t>
        </is>
      </c>
      <c r="IV4" s="69" t="inlineStr">
        <is>
          <t>RR09_SF</t>
        </is>
      </c>
      <c r="IW4" s="69" t="inlineStr">
        <is>
          <t>RR09_StartMo</t>
        </is>
      </c>
      <c r="IX4" s="69" t="inlineStr">
        <is>
          <t>RR09_LCD</t>
        </is>
      </c>
      <c r="IY4" s="69" t="inlineStr">
        <is>
          <t>RR09_Term</t>
        </is>
      </c>
      <c r="IZ4" s="69" t="inlineStr">
        <is>
          <t>RR09_RentPSF</t>
        </is>
      </c>
      <c r="JA4" s="69" t="inlineStr">
        <is>
          <t>RR09_RentType</t>
        </is>
      </c>
      <c r="JB4" s="69" t="inlineStr">
        <is>
          <t>RR09_Escal</t>
        </is>
      </c>
      <c r="JC4" s="69" t="inlineStr">
        <is>
          <t>RR09_TIPSF</t>
        </is>
      </c>
      <c r="JD4" s="69" t="inlineStr">
        <is>
          <t>RR09_LCPct</t>
        </is>
      </c>
      <c r="JE4" s="69" t="inlineStr">
        <is>
          <t>RR09_FreeRentMo</t>
        </is>
      </c>
      <c r="JF4" s="69" t="inlineStr">
        <is>
          <t>RR09_FreeStart</t>
        </is>
      </c>
      <c r="JG4" s="69" t="inlineStr">
        <is>
          <t>RR09_Abatement</t>
        </is>
      </c>
      <c r="JH4" s="69" t="inlineStr">
        <is>
          <t>RR10_Name</t>
        </is>
      </c>
      <c r="JI4" s="69" t="inlineStr">
        <is>
          <t>RR10_SF</t>
        </is>
      </c>
      <c r="JJ4" s="69" t="inlineStr">
        <is>
          <t>RR10_StartMo</t>
        </is>
      </c>
      <c r="JK4" s="69" t="inlineStr">
        <is>
          <t>RR10_LCD</t>
        </is>
      </c>
      <c r="JL4" s="69" t="inlineStr">
        <is>
          <t>RR10_Term</t>
        </is>
      </c>
      <c r="JM4" s="69" t="inlineStr">
        <is>
          <t>RR10_RentPSF</t>
        </is>
      </c>
      <c r="JN4" s="69" t="inlineStr">
        <is>
          <t>RR10_RentType</t>
        </is>
      </c>
      <c r="JO4" s="69" t="inlineStr">
        <is>
          <t>RR10_Escal</t>
        </is>
      </c>
      <c r="JP4" s="69" t="inlineStr">
        <is>
          <t>RR10_TIPSF</t>
        </is>
      </c>
      <c r="JQ4" s="69" t="inlineStr">
        <is>
          <t>RR10_LCPct</t>
        </is>
      </c>
      <c r="JR4" s="69" t="inlineStr">
        <is>
          <t>RR10_FreeRentMo</t>
        </is>
      </c>
      <c r="JS4" s="69" t="inlineStr">
        <is>
          <t>RR10_FreeStart</t>
        </is>
      </c>
      <c r="JT4" s="69" t="inlineStr">
        <is>
          <t>RR10_Abatement</t>
        </is>
      </c>
      <c r="JU4" s="69" t="inlineStr">
        <is>
          <t>RR11_Name</t>
        </is>
      </c>
      <c r="JV4" s="69" t="inlineStr">
        <is>
          <t>RR11_SF</t>
        </is>
      </c>
      <c r="JW4" s="69" t="inlineStr">
        <is>
          <t>RR11_StartMo</t>
        </is>
      </c>
      <c r="JX4" s="69" t="inlineStr">
        <is>
          <t>RR11_LCD</t>
        </is>
      </c>
      <c r="JY4" s="69" t="inlineStr">
        <is>
          <t>RR11_Term</t>
        </is>
      </c>
      <c r="JZ4" s="69" t="inlineStr">
        <is>
          <t>RR11_RentPSF</t>
        </is>
      </c>
      <c r="KA4" s="69" t="inlineStr">
        <is>
          <t>RR11_RentType</t>
        </is>
      </c>
      <c r="KB4" s="69" t="inlineStr">
        <is>
          <t>RR11_Escal</t>
        </is>
      </c>
      <c r="KC4" s="69" t="inlineStr">
        <is>
          <t>RR11_TIPSF</t>
        </is>
      </c>
      <c r="KD4" s="69" t="inlineStr">
        <is>
          <t>RR11_LCPct</t>
        </is>
      </c>
      <c r="KE4" s="69" t="inlineStr">
        <is>
          <t>RR11_FreeRentMo</t>
        </is>
      </c>
      <c r="KF4" s="69" t="inlineStr">
        <is>
          <t>RR11_FreeStart</t>
        </is>
      </c>
      <c r="KG4" s="69" t="inlineStr">
        <is>
          <t>RR11_Abatement</t>
        </is>
      </c>
      <c r="KH4" s="69" t="inlineStr">
        <is>
          <t>RR12_Name</t>
        </is>
      </c>
      <c r="KI4" s="69" t="inlineStr">
        <is>
          <t>RR12_SF</t>
        </is>
      </c>
      <c r="KJ4" s="69" t="inlineStr">
        <is>
          <t>RR12_StartMo</t>
        </is>
      </c>
      <c r="KK4" s="69" t="inlineStr">
        <is>
          <t>RR12_LCD</t>
        </is>
      </c>
      <c r="KL4" s="69" t="inlineStr">
        <is>
          <t>RR12_Term</t>
        </is>
      </c>
      <c r="KM4" s="69" t="inlineStr">
        <is>
          <t>RR12_RentPSF</t>
        </is>
      </c>
      <c r="KN4" s="69" t="inlineStr">
        <is>
          <t>RR12_RentType</t>
        </is>
      </c>
      <c r="KO4" s="69" t="inlineStr">
        <is>
          <t>RR12_Escal</t>
        </is>
      </c>
      <c r="KP4" s="69" t="inlineStr">
        <is>
          <t>RR12_TIPSF</t>
        </is>
      </c>
      <c r="KQ4" s="69" t="inlineStr">
        <is>
          <t>RR12_LCPct</t>
        </is>
      </c>
      <c r="KR4" s="69" t="inlineStr">
        <is>
          <t>RR12_FreeRentMo</t>
        </is>
      </c>
      <c r="KS4" s="69" t="inlineStr">
        <is>
          <t>RR12_FreeStart</t>
        </is>
      </c>
      <c r="KT4" s="69" t="inlineStr">
        <is>
          <t>RR12_Abatement</t>
        </is>
      </c>
      <c r="KU4" s="69" t="inlineStr">
        <is>
          <t>RR13_Name</t>
        </is>
      </c>
      <c r="KV4" s="69" t="inlineStr">
        <is>
          <t>RR13_SF</t>
        </is>
      </c>
      <c r="KW4" s="69" t="inlineStr">
        <is>
          <t>RR13_StartMo</t>
        </is>
      </c>
      <c r="KX4" s="69" t="inlineStr">
        <is>
          <t>RR13_LCD</t>
        </is>
      </c>
      <c r="KY4" s="69" t="inlineStr">
        <is>
          <t>RR13_Term</t>
        </is>
      </c>
      <c r="KZ4" s="69" t="inlineStr">
        <is>
          <t>RR13_RentPSF</t>
        </is>
      </c>
      <c r="LA4" s="69" t="inlineStr">
        <is>
          <t>RR13_RentType</t>
        </is>
      </c>
      <c r="LB4" s="69" t="inlineStr">
        <is>
          <t>RR13_Escal</t>
        </is>
      </c>
      <c r="LC4" s="69" t="inlineStr">
        <is>
          <t>RR13_TIPSF</t>
        </is>
      </c>
      <c r="LD4" s="69" t="inlineStr">
        <is>
          <t>RR13_LCPct</t>
        </is>
      </c>
      <c r="LE4" s="69" t="inlineStr">
        <is>
          <t>RR13_FreeRentMo</t>
        </is>
      </c>
      <c r="LF4" s="69" t="inlineStr">
        <is>
          <t>RR13_FreeStart</t>
        </is>
      </c>
      <c r="LG4" s="69" t="inlineStr">
        <is>
          <t>RR13_Abatement</t>
        </is>
      </c>
      <c r="LH4" s="69" t="inlineStr">
        <is>
          <t>RR14_Name</t>
        </is>
      </c>
      <c r="LI4" s="69" t="inlineStr">
        <is>
          <t>RR14_SF</t>
        </is>
      </c>
      <c r="LJ4" s="69" t="inlineStr">
        <is>
          <t>RR14_StartMo</t>
        </is>
      </c>
      <c r="LK4" s="69" t="inlineStr">
        <is>
          <t>RR14_LCD</t>
        </is>
      </c>
      <c r="LL4" s="69" t="inlineStr">
        <is>
          <t>RR14_Term</t>
        </is>
      </c>
      <c r="LM4" s="69" t="inlineStr">
        <is>
          <t>RR14_RentPSF</t>
        </is>
      </c>
      <c r="LN4" s="69" t="inlineStr">
        <is>
          <t>RR14_RentType</t>
        </is>
      </c>
      <c r="LO4" s="69" t="inlineStr">
        <is>
          <t>RR14_Escal</t>
        </is>
      </c>
      <c r="LP4" s="69" t="inlineStr">
        <is>
          <t>RR14_TIPSF</t>
        </is>
      </c>
      <c r="LQ4" s="69" t="inlineStr">
        <is>
          <t>RR14_LCPct</t>
        </is>
      </c>
      <c r="LR4" s="69" t="inlineStr">
        <is>
          <t>RR14_FreeRentMo</t>
        </is>
      </c>
      <c r="LS4" s="69" t="inlineStr">
        <is>
          <t>RR14_FreeStart</t>
        </is>
      </c>
      <c r="LT4" s="69" t="inlineStr">
        <is>
          <t>RR14_Abatement</t>
        </is>
      </c>
      <c r="LU4" s="69" t="inlineStr">
        <is>
          <t>RR15_Name</t>
        </is>
      </c>
      <c r="LV4" s="69" t="inlineStr">
        <is>
          <t>RR15_SF</t>
        </is>
      </c>
      <c r="LW4" s="69" t="inlineStr">
        <is>
          <t>RR15_StartMo</t>
        </is>
      </c>
      <c r="LX4" s="69" t="inlineStr">
        <is>
          <t>RR15_LCD</t>
        </is>
      </c>
      <c r="LY4" s="69" t="inlineStr">
        <is>
          <t>RR15_Term</t>
        </is>
      </c>
      <c r="LZ4" s="69" t="inlineStr">
        <is>
          <t>RR15_RentPSF</t>
        </is>
      </c>
      <c r="MA4" s="69" t="inlineStr">
        <is>
          <t>RR15_RentType</t>
        </is>
      </c>
      <c r="MB4" s="69" t="inlineStr">
        <is>
          <t>RR15_Escal</t>
        </is>
      </c>
      <c r="MC4" s="69" t="inlineStr">
        <is>
          <t>RR15_TIPSF</t>
        </is>
      </c>
      <c r="MD4" s="69" t="inlineStr">
        <is>
          <t>RR15_LCPct</t>
        </is>
      </c>
      <c r="ME4" s="69" t="inlineStr">
        <is>
          <t>RR15_FreeRentMo</t>
        </is>
      </c>
      <c r="MF4" s="69" t="inlineStr">
        <is>
          <t>RR15_FreeStart</t>
        </is>
      </c>
      <c r="MG4" s="69" t="inlineStr">
        <is>
          <t>RR15_Abatement</t>
        </is>
      </c>
      <c r="MH4" s="69" t="inlineStr">
        <is>
          <t>Comm_NOIStart</t>
        </is>
      </c>
      <c r="MI4" s="69" t="inlineStr">
        <is>
          <t>GrowthOvr_1_1</t>
        </is>
      </c>
      <c r="MJ4" s="69" t="inlineStr">
        <is>
          <t>GrowthOvr_1_2</t>
        </is>
      </c>
      <c r="MK4" s="69" t="inlineStr">
        <is>
          <t>GrowthOvr_1_3</t>
        </is>
      </c>
      <c r="ML4" s="69" t="inlineStr">
        <is>
          <t>GrowthOvr_1_4</t>
        </is>
      </c>
      <c r="MM4" s="69" t="inlineStr">
        <is>
          <t>GrowthOvr_1_5</t>
        </is>
      </c>
      <c r="MN4" s="69" t="inlineStr">
        <is>
          <t>GrowthOvr_2_1</t>
        </is>
      </c>
      <c r="MO4" s="69" t="inlineStr">
        <is>
          <t>GrowthOvr_2_2</t>
        </is>
      </c>
      <c r="MP4" s="69" t="inlineStr">
        <is>
          <t>GrowthOvr_2_3</t>
        </is>
      </c>
      <c r="MQ4" s="69" t="inlineStr">
        <is>
          <t>GrowthOvr_2_4</t>
        </is>
      </c>
      <c r="MR4" s="69" t="inlineStr">
        <is>
          <t>GrowthOvr_2_5</t>
        </is>
      </c>
      <c r="MS4" s="69" t="inlineStr">
        <is>
          <t>GrowthOvr_3_1</t>
        </is>
      </c>
      <c r="MT4" s="69" t="inlineStr">
        <is>
          <t>GrowthOvr_3_2</t>
        </is>
      </c>
      <c r="MU4" s="69" t="inlineStr">
        <is>
          <t>GrowthOvr_3_3</t>
        </is>
      </c>
      <c r="MV4" s="69" t="inlineStr">
        <is>
          <t>GrowthOvr_3_4</t>
        </is>
      </c>
      <c r="MW4" s="69" t="inlineStr">
        <is>
          <t>GrowthOvr_3_5</t>
        </is>
      </c>
      <c r="MX4" s="69" t="inlineStr">
        <is>
          <t>GrowthOvr_4_1</t>
        </is>
      </c>
      <c r="MY4" s="69" t="inlineStr">
        <is>
          <t>GrowthOvr_4_2</t>
        </is>
      </c>
      <c r="MZ4" s="69" t="inlineStr">
        <is>
          <t>GrowthOvr_4_3</t>
        </is>
      </c>
      <c r="NA4" s="69" t="inlineStr">
        <is>
          <t>GrowthOvr_4_4</t>
        </is>
      </c>
      <c r="NB4" s="69" t="inlineStr">
        <is>
          <t>GrowthOvr_4_5</t>
        </is>
      </c>
      <c r="NC4" s="69" t="inlineStr">
        <is>
          <t>GrowthOvr_5_1</t>
        </is>
      </c>
      <c r="ND4" s="69" t="inlineStr">
        <is>
          <t>GrowthOvr_5_2</t>
        </is>
      </c>
      <c r="NE4" s="69" t="inlineStr">
        <is>
          <t>GrowthOvr_5_3</t>
        </is>
      </c>
      <c r="NF4" s="69" t="inlineStr">
        <is>
          <t>GrowthOvr_5_4</t>
        </is>
      </c>
      <c r="NG4" s="69" t="inlineStr">
        <is>
          <t>GrowthOvr_5_5</t>
        </is>
      </c>
      <c r="NH4" s="69" t="inlineStr">
        <is>
          <t>Bud_Land</t>
        </is>
      </c>
      <c r="NI4" s="69" t="inlineStr">
        <is>
          <t>Bud_Land_Curve</t>
        </is>
      </c>
      <c r="NJ4" s="69" t="inlineStr">
        <is>
          <t>Bud_Shell</t>
        </is>
      </c>
      <c r="NK4" s="69" t="inlineStr">
        <is>
          <t>Bud_Shell_Curve</t>
        </is>
      </c>
      <c r="NL4" s="69" t="inlineStr">
        <is>
          <t>Bud_Sitework</t>
        </is>
      </c>
      <c r="NM4" s="69" t="inlineStr">
        <is>
          <t>Bud_Sitework_Curve</t>
        </is>
      </c>
      <c r="NN4" s="69" t="inlineStr">
        <is>
          <t>Bud_Parking</t>
        </is>
      </c>
      <c r="NO4" s="69" t="inlineStr">
        <is>
          <t>Bud_Parking_Curve</t>
        </is>
      </c>
      <c r="NP4" s="69" t="inlineStr">
        <is>
          <t>Bud_FFE</t>
        </is>
      </c>
      <c r="NQ4" s="69" t="inlineStr">
        <is>
          <t>Bud_FFE_Curve</t>
        </is>
      </c>
      <c r="NR4" s="69" t="inlineStr">
        <is>
          <t>Bud_GCFee</t>
        </is>
      </c>
      <c r="NS4" s="69" t="inlineStr">
        <is>
          <t>Bud_GCFee_Curve</t>
        </is>
      </c>
      <c r="NT4" s="69" t="inlineStr">
        <is>
          <t>Bud_HardContPct</t>
        </is>
      </c>
      <c r="NU4" s="69" t="inlineStr">
        <is>
          <t>Bud_AE</t>
        </is>
      </c>
      <c r="NV4" s="69" t="inlineStr">
        <is>
          <t>Bud_AE_Curve</t>
        </is>
      </c>
      <c r="NW4" s="69" t="inlineStr">
        <is>
          <t>Bud_Permits</t>
        </is>
      </c>
      <c r="NX4" s="69" t="inlineStr">
        <is>
          <t>Bud_Permits_Curve</t>
        </is>
      </c>
      <c r="NY4" s="69" t="inlineStr">
        <is>
          <t>Bud_Legal</t>
        </is>
      </c>
      <c r="NZ4" s="69" t="inlineStr">
        <is>
          <t>Bud_Legal_Curve</t>
        </is>
      </c>
      <c r="OA4" s="69" t="inlineStr">
        <is>
          <t>Bud_Mktg</t>
        </is>
      </c>
      <c r="OB4" s="69" t="inlineStr">
        <is>
          <t>Bud_Mktg_Curve</t>
        </is>
      </c>
      <c r="OC4" s="69" t="inlineStr">
        <is>
          <t>Bud_DevFee</t>
        </is>
      </c>
      <c r="OD4" s="69" t="inlineStr">
        <is>
          <t>Bud_DevFee_Curve</t>
        </is>
      </c>
      <c r="OE4" s="69" t="inlineStr">
        <is>
          <t>Bud_TaxInsConst</t>
        </is>
      </c>
      <c r="OF4" s="69" t="inlineStr">
        <is>
          <t>Bud_TaxInsConst_Curve</t>
        </is>
      </c>
      <c r="OG4" s="69" t="inlineStr">
        <is>
          <t>Bud_SoftContPct</t>
        </is>
      </c>
    </row>
    <row r="5">
      <c r="A5" s="70" t="n">
        <v>1</v>
      </c>
      <c r="B5" s="70" t="inlineStr">
        <is>
          <t>1-2A</t>
        </is>
      </c>
      <c r="C5" s="70" t="inlineStr">
        <is>
          <t>Site 1 - Bldg 2A</t>
        </is>
      </c>
      <c r="D5" s="70" t="inlineStr">
        <is>
          <t>2026-06-23</t>
        </is>
      </c>
      <c r="E5" s="70" t="inlineStr">
        <is>
          <t>seed</t>
        </is>
      </c>
      <c r="F5" s="70" t="inlineStr">
        <is>
          <t>initial seed record</t>
        </is>
      </c>
      <c r="G5" s="70">
        <f>Cockpit!$B$13</f>
        <v/>
      </c>
      <c r="H5" s="70">
        <f>Cockpit!$B$14</f>
        <v/>
      </c>
      <c r="I5" s="70">
        <f>Cockpit!$B$15</f>
        <v/>
      </c>
      <c r="J5" s="70">
        <f>Cockpit!$B$16</f>
        <v/>
      </c>
      <c r="K5" s="70">
        <f>Cockpit!$B$17</f>
        <v/>
      </c>
      <c r="L5" s="70">
        <f>Cockpit!$B$18</f>
        <v/>
      </c>
      <c r="M5" s="70">
        <f>Cockpit!$B$19</f>
        <v/>
      </c>
      <c r="N5" s="70">
        <f>Cockpit!$B$20</f>
        <v/>
      </c>
      <c r="O5" s="70">
        <f>Cockpit!$B$21</f>
        <v/>
      </c>
      <c r="P5" s="70">
        <f>Cockpit!$B$24</f>
        <v/>
      </c>
      <c r="Q5" s="70">
        <f>Cockpit!$B$25</f>
        <v/>
      </c>
      <c r="R5" s="70">
        <f>Cockpit!$B$26</f>
        <v/>
      </c>
      <c r="S5" s="70">
        <f>Cockpit!$B$27</f>
        <v/>
      </c>
      <c r="T5" s="70">
        <f>Cockpit!$B$28</f>
        <v/>
      </c>
      <c r="U5" s="70">
        <f>Cockpit!$B$29</f>
        <v/>
      </c>
      <c r="V5" s="70">
        <f>Cockpit!$B$30</f>
        <v/>
      </c>
      <c r="W5" s="70">
        <f>Cockpit!$B$32</f>
        <v/>
      </c>
      <c r="X5" s="70">
        <f>Cockpit!$B$33</f>
        <v/>
      </c>
      <c r="Y5" s="70">
        <f>Cockpit!$A$37</f>
        <v/>
      </c>
      <c r="Z5" s="70">
        <f>Cockpit!$B$37</f>
        <v/>
      </c>
      <c r="AA5" s="70">
        <f>Cockpit!$C$37</f>
        <v/>
      </c>
      <c r="AB5" s="70">
        <f>Cockpit!$D$37</f>
        <v/>
      </c>
      <c r="AC5" s="70">
        <f>Cockpit!$E$37</f>
        <v/>
      </c>
      <c r="AD5" s="70">
        <f>Cockpit!$A$38</f>
        <v/>
      </c>
      <c r="AE5" s="70">
        <f>Cockpit!$B$38</f>
        <v/>
      </c>
      <c r="AF5" s="70">
        <f>Cockpit!$C$38</f>
        <v/>
      </c>
      <c r="AG5" s="70">
        <f>Cockpit!$D$38</f>
        <v/>
      </c>
      <c r="AH5" s="70">
        <f>Cockpit!$E$38</f>
        <v/>
      </c>
      <c r="AI5" s="70">
        <f>Cockpit!$A$39</f>
        <v/>
      </c>
      <c r="AJ5" s="70">
        <f>Cockpit!$B$39</f>
        <v/>
      </c>
      <c r="AK5" s="70">
        <f>Cockpit!$C$39</f>
        <v/>
      </c>
      <c r="AL5" s="70">
        <f>Cockpit!$D$39</f>
        <v/>
      </c>
      <c r="AM5" s="70">
        <f>Cockpit!$E$39</f>
        <v/>
      </c>
      <c r="AN5" s="70">
        <f>Cockpit!$A$40</f>
        <v/>
      </c>
      <c r="AO5" s="70">
        <f>Cockpit!$B$40</f>
        <v/>
      </c>
      <c r="AP5" s="70">
        <f>Cockpit!$C$40</f>
        <v/>
      </c>
      <c r="AQ5" s="70">
        <f>Cockpit!$D$40</f>
        <v/>
      </c>
      <c r="AR5" s="70">
        <f>Cockpit!$E$40</f>
        <v/>
      </c>
      <c r="AS5" s="70">
        <f>Cockpit!$A$41</f>
        <v/>
      </c>
      <c r="AT5" s="70">
        <f>Cockpit!$B$41</f>
        <v/>
      </c>
      <c r="AU5" s="70">
        <f>Cockpit!$C$41</f>
        <v/>
      </c>
      <c r="AV5" s="70">
        <f>Cockpit!$D$41</f>
        <v/>
      </c>
      <c r="AW5" s="70">
        <f>Cockpit!$E$41</f>
        <v/>
      </c>
      <c r="AX5" s="70">
        <f>Cockpit!$A$42</f>
        <v/>
      </c>
      <c r="AY5" s="70">
        <f>Cockpit!$B$42</f>
        <v/>
      </c>
      <c r="AZ5" s="70">
        <f>Cockpit!$C$42</f>
        <v/>
      </c>
      <c r="BA5" s="70">
        <f>Cockpit!$D$42</f>
        <v/>
      </c>
      <c r="BB5" s="70">
        <f>Cockpit!$E$42</f>
        <v/>
      </c>
      <c r="BC5" s="70">
        <f>Cockpit!$A$43</f>
        <v/>
      </c>
      <c r="BD5" s="70">
        <f>Cockpit!$B$43</f>
        <v/>
      </c>
      <c r="BE5" s="70">
        <f>Cockpit!$C$43</f>
        <v/>
      </c>
      <c r="BF5" s="70">
        <f>Cockpit!$D$43</f>
        <v/>
      </c>
      <c r="BG5" s="70">
        <f>Cockpit!$E$43</f>
        <v/>
      </c>
      <c r="BH5" s="70">
        <f>Cockpit!$A$44</f>
        <v/>
      </c>
      <c r="BI5" s="70">
        <f>Cockpit!$B$44</f>
        <v/>
      </c>
      <c r="BJ5" s="70">
        <f>Cockpit!$C$44</f>
        <v/>
      </c>
      <c r="BK5" s="70">
        <f>Cockpit!$D$44</f>
        <v/>
      </c>
      <c r="BL5" s="70">
        <f>Cockpit!$E$44</f>
        <v/>
      </c>
      <c r="BM5" s="70">
        <f>Cockpit!$A$45</f>
        <v/>
      </c>
      <c r="BN5" s="70">
        <f>Cockpit!$B$45</f>
        <v/>
      </c>
      <c r="BO5" s="70">
        <f>Cockpit!$C$45</f>
        <v/>
      </c>
      <c r="BP5" s="70">
        <f>Cockpit!$D$45</f>
        <v/>
      </c>
      <c r="BQ5" s="70">
        <f>Cockpit!$E$45</f>
        <v/>
      </c>
      <c r="BR5" s="70">
        <f>Cockpit!$A$46</f>
        <v/>
      </c>
      <c r="BS5" s="70">
        <f>Cockpit!$B$46</f>
        <v/>
      </c>
      <c r="BT5" s="70">
        <f>Cockpit!$C$46</f>
        <v/>
      </c>
      <c r="BU5" s="70">
        <f>Cockpit!$D$46</f>
        <v/>
      </c>
      <c r="BV5" s="70">
        <f>Cockpit!$E$46</f>
        <v/>
      </c>
      <c r="BW5" s="70">
        <f>Cockpit!$A$47</f>
        <v/>
      </c>
      <c r="BX5" s="70">
        <f>Cockpit!$B$47</f>
        <v/>
      </c>
      <c r="BY5" s="70">
        <f>Cockpit!$C$47</f>
        <v/>
      </c>
      <c r="BZ5" s="70">
        <f>Cockpit!$D$47</f>
        <v/>
      </c>
      <c r="CA5" s="70">
        <f>Cockpit!$E$47</f>
        <v/>
      </c>
      <c r="CB5" s="70">
        <f>Cockpit!$A$48</f>
        <v/>
      </c>
      <c r="CC5" s="70">
        <f>Cockpit!$B$48</f>
        <v/>
      </c>
      <c r="CD5" s="70">
        <f>Cockpit!$C$48</f>
        <v/>
      </c>
      <c r="CE5" s="70">
        <f>Cockpit!$D$48</f>
        <v/>
      </c>
      <c r="CF5" s="70">
        <f>Cockpit!$E$48</f>
        <v/>
      </c>
      <c r="CG5" s="70">
        <f>Cockpit!$A$49</f>
        <v/>
      </c>
      <c r="CH5" s="70">
        <f>Cockpit!$B$49</f>
        <v/>
      </c>
      <c r="CI5" s="70">
        <f>Cockpit!$C$49</f>
        <v/>
      </c>
      <c r="CJ5" s="70">
        <f>Cockpit!$D$49</f>
        <v/>
      </c>
      <c r="CK5" s="70">
        <f>Cockpit!$E$49</f>
        <v/>
      </c>
      <c r="CL5" s="70">
        <f>Cockpit!$A$50</f>
        <v/>
      </c>
      <c r="CM5" s="70">
        <f>Cockpit!$B$50</f>
        <v/>
      </c>
      <c r="CN5" s="70">
        <f>Cockpit!$C$50</f>
        <v/>
      </c>
      <c r="CO5" s="70">
        <f>Cockpit!$D$50</f>
        <v/>
      </c>
      <c r="CP5" s="70">
        <f>Cockpit!$E$50</f>
        <v/>
      </c>
      <c r="CQ5" s="70">
        <f>Cockpit!$A$51</f>
        <v/>
      </c>
      <c r="CR5" s="70">
        <f>Cockpit!$B$51</f>
        <v/>
      </c>
      <c r="CS5" s="70">
        <f>Cockpit!$C$51</f>
        <v/>
      </c>
      <c r="CT5" s="70">
        <f>Cockpit!$D$51</f>
        <v/>
      </c>
      <c r="CU5" s="70">
        <f>Cockpit!$E$51</f>
        <v/>
      </c>
      <c r="CV5" s="70">
        <f>Cockpit!$B$56</f>
        <v/>
      </c>
      <c r="CW5" s="70">
        <f>Cockpit!$B$58</f>
        <v/>
      </c>
      <c r="CX5" s="70">
        <f>Cockpit!$B$59</f>
        <v/>
      </c>
      <c r="CY5" s="70">
        <f>Cockpit!$B$60</f>
        <v/>
      </c>
      <c r="CZ5" s="70">
        <f>Cockpit!$B$61</f>
        <v/>
      </c>
      <c r="DA5" s="70">
        <f>Cockpit!$B$62</f>
        <v/>
      </c>
      <c r="DB5" s="70">
        <f>Cockpit!$B$63</f>
        <v/>
      </c>
      <c r="DC5" s="70">
        <f>Cockpit!$B$64</f>
        <v/>
      </c>
      <c r="DD5" s="70">
        <f>Cockpit!$B$65</f>
        <v/>
      </c>
      <c r="DE5" s="70">
        <f>Cockpit!$B$66</f>
        <v/>
      </c>
      <c r="DF5" s="70">
        <f>Cockpit!$B$70</f>
        <v/>
      </c>
      <c r="DG5" s="70">
        <f>Cockpit!$C$70</f>
        <v/>
      </c>
      <c r="DH5" s="70">
        <f>Cockpit!$D$70</f>
        <v/>
      </c>
      <c r="DI5" s="70">
        <f>Cockpit!$B$71</f>
        <v/>
      </c>
      <c r="DJ5" s="70">
        <f>Cockpit!$C$71</f>
        <v/>
      </c>
      <c r="DK5" s="70">
        <f>Cockpit!$D$71</f>
        <v/>
      </c>
      <c r="DL5" s="70">
        <f>Cockpit!$B$72</f>
        <v/>
      </c>
      <c r="DM5" s="70">
        <f>Cockpit!$C$72</f>
        <v/>
      </c>
      <c r="DN5" s="70">
        <f>Cockpit!$D$72</f>
        <v/>
      </c>
      <c r="DO5" s="70">
        <f>Cockpit!$B$73</f>
        <v/>
      </c>
      <c r="DP5" s="70">
        <f>Cockpit!$C$73</f>
        <v/>
      </c>
      <c r="DQ5" s="70">
        <f>Cockpit!$D$73</f>
        <v/>
      </c>
      <c r="DR5" s="70">
        <f>Cockpit!$B$76</f>
        <v/>
      </c>
      <c r="DS5" s="70">
        <f>Cockpit!$B$78</f>
        <v/>
      </c>
      <c r="DT5" s="70">
        <f>Cockpit!$C$78</f>
        <v/>
      </c>
      <c r="DU5" s="70">
        <f>Cockpit!$B$79</f>
        <v/>
      </c>
      <c r="DV5" s="70">
        <f>Cockpit!$C$79</f>
        <v/>
      </c>
      <c r="DW5" s="70">
        <f>Cockpit!$B$80</f>
        <v/>
      </c>
      <c r="DX5" s="70">
        <f>Cockpit!$C$80</f>
        <v/>
      </c>
      <c r="DY5" s="70">
        <f>Cockpit!$B$81</f>
        <v/>
      </c>
      <c r="DZ5" s="70">
        <f>Cockpit!$C$81</f>
        <v/>
      </c>
      <c r="EA5" s="70">
        <f>Cockpit!$B$82</f>
        <v/>
      </c>
      <c r="EB5" s="70">
        <f>Cockpit!$C$82</f>
        <v/>
      </c>
      <c r="EC5" s="70">
        <f>Cockpit!$B$83</f>
        <v/>
      </c>
      <c r="ED5" s="70">
        <f>Cockpit!$C$83</f>
        <v/>
      </c>
      <c r="EE5" s="70">
        <f>Cockpit!$B$85</f>
        <v/>
      </c>
      <c r="EF5" s="70">
        <f>Cockpit!$C$85</f>
        <v/>
      </c>
      <c r="EG5" s="70">
        <f>Cockpit!$B$86</f>
        <v/>
      </c>
      <c r="EH5" s="70">
        <f>Cockpit!$C$86</f>
        <v/>
      </c>
      <c r="EI5" s="70">
        <f>Cockpit!$B$87</f>
        <v/>
      </c>
      <c r="EJ5" s="70">
        <f>Cockpit!$C$87</f>
        <v/>
      </c>
      <c r="EK5" s="70">
        <f>Cockpit!$C$88</f>
        <v/>
      </c>
      <c r="EL5" s="70">
        <f>Cockpit!$C$89</f>
        <v/>
      </c>
      <c r="EM5" s="70">
        <f>Cockpit!$B$93</f>
        <v/>
      </c>
      <c r="EN5" s="70">
        <f>Cockpit!$B$94</f>
        <v/>
      </c>
      <c r="EO5" s="70">
        <f>Cockpit!$B$98</f>
        <v/>
      </c>
      <c r="EP5" s="70">
        <f>Cockpit!$B$99</f>
        <v/>
      </c>
      <c r="EQ5" s="70">
        <f>Cockpit!$B$100</f>
        <v/>
      </c>
      <c r="ER5" s="70">
        <f>Cockpit!$B$101</f>
        <v/>
      </c>
      <c r="ES5" s="70">
        <f>Cockpit!$B$102</f>
        <v/>
      </c>
      <c r="ET5" s="70">
        <f>Cockpit!$B$103</f>
        <v/>
      </c>
      <c r="EU5" s="70">
        <f>Cockpit!$A$106</f>
        <v/>
      </c>
      <c r="EV5" s="70">
        <f>Cockpit!$B$106</f>
        <v/>
      </c>
      <c r="EW5" s="70">
        <f>Cockpit!$D$106</f>
        <v/>
      </c>
      <c r="EX5" s="70">
        <f>Cockpit!$E$106</f>
        <v/>
      </c>
      <c r="EY5" s="70">
        <f>Cockpit!$F$106</f>
        <v/>
      </c>
      <c r="EZ5" s="70">
        <f>Cockpit!$H$106</f>
        <v/>
      </c>
      <c r="FA5" s="70">
        <f>Cockpit!$I$106</f>
        <v/>
      </c>
      <c r="FB5" s="70">
        <f>Cockpit!$J$106</f>
        <v/>
      </c>
      <c r="FC5" s="70">
        <f>Cockpit!$K$106</f>
        <v/>
      </c>
      <c r="FD5" s="70">
        <f>Cockpit!$L$106</f>
        <v/>
      </c>
      <c r="FE5" s="70">
        <f>Cockpit!$N$106</f>
        <v/>
      </c>
      <c r="FF5" s="70">
        <f>Cockpit!$O$106</f>
        <v/>
      </c>
      <c r="FG5" s="70">
        <f>Cockpit!$Q$106</f>
        <v/>
      </c>
      <c r="FH5" s="70">
        <f>Cockpit!$A$107</f>
        <v/>
      </c>
      <c r="FI5" s="70">
        <f>Cockpit!$B$107</f>
        <v/>
      </c>
      <c r="FJ5" s="70">
        <f>Cockpit!$D$107</f>
        <v/>
      </c>
      <c r="FK5" s="70">
        <f>Cockpit!$E$107</f>
        <v/>
      </c>
      <c r="FL5" s="70">
        <f>Cockpit!$F$107</f>
        <v/>
      </c>
      <c r="FM5" s="70">
        <f>Cockpit!$H$107</f>
        <v/>
      </c>
      <c r="FN5" s="70">
        <f>Cockpit!$I$107</f>
        <v/>
      </c>
      <c r="FO5" s="70">
        <f>Cockpit!$J$107</f>
        <v/>
      </c>
      <c r="FP5" s="70">
        <f>Cockpit!$K$107</f>
        <v/>
      </c>
      <c r="FQ5" s="70">
        <f>Cockpit!$L$107</f>
        <v/>
      </c>
      <c r="FR5" s="70">
        <f>Cockpit!$N$107</f>
        <v/>
      </c>
      <c r="FS5" s="70">
        <f>Cockpit!$O$107</f>
        <v/>
      </c>
      <c r="FT5" s="70">
        <f>Cockpit!$Q$107</f>
        <v/>
      </c>
      <c r="FU5" s="70">
        <f>Cockpit!$A$108</f>
        <v/>
      </c>
      <c r="FV5" s="70">
        <f>Cockpit!$B$108</f>
        <v/>
      </c>
      <c r="FW5" s="70">
        <f>Cockpit!$D$108</f>
        <v/>
      </c>
      <c r="FX5" s="70">
        <f>Cockpit!$E$108</f>
        <v/>
      </c>
      <c r="FY5" s="70">
        <f>Cockpit!$F$108</f>
        <v/>
      </c>
      <c r="FZ5" s="70">
        <f>Cockpit!$H$108</f>
        <v/>
      </c>
      <c r="GA5" s="70">
        <f>Cockpit!$I$108</f>
        <v/>
      </c>
      <c r="GB5" s="70">
        <f>Cockpit!$J$108</f>
        <v/>
      </c>
      <c r="GC5" s="70">
        <f>Cockpit!$K$108</f>
        <v/>
      </c>
      <c r="GD5" s="70">
        <f>Cockpit!$L$108</f>
        <v/>
      </c>
      <c r="GE5" s="70">
        <f>Cockpit!$N$108</f>
        <v/>
      </c>
      <c r="GF5" s="70">
        <f>Cockpit!$O$108</f>
        <v/>
      </c>
      <c r="GG5" s="70">
        <f>Cockpit!$Q$108</f>
        <v/>
      </c>
      <c r="GH5" s="70">
        <f>Cockpit!$A$109</f>
        <v/>
      </c>
      <c r="GI5" s="70">
        <f>Cockpit!$B$109</f>
        <v/>
      </c>
      <c r="GJ5" s="70">
        <f>Cockpit!$D$109</f>
        <v/>
      </c>
      <c r="GK5" s="70">
        <f>Cockpit!$E$109</f>
        <v/>
      </c>
      <c r="GL5" s="70">
        <f>Cockpit!$F$109</f>
        <v/>
      </c>
      <c r="GM5" s="70">
        <f>Cockpit!$H$109</f>
        <v/>
      </c>
      <c r="GN5" s="70">
        <f>Cockpit!$I$109</f>
        <v/>
      </c>
      <c r="GO5" s="70">
        <f>Cockpit!$J$109</f>
        <v/>
      </c>
      <c r="GP5" s="70">
        <f>Cockpit!$K$109</f>
        <v/>
      </c>
      <c r="GQ5" s="70">
        <f>Cockpit!$L$109</f>
        <v/>
      </c>
      <c r="GR5" s="70">
        <f>Cockpit!$N$109</f>
        <v/>
      </c>
      <c r="GS5" s="70">
        <f>Cockpit!$O$109</f>
        <v/>
      </c>
      <c r="GT5" s="70">
        <f>Cockpit!$Q$109</f>
        <v/>
      </c>
      <c r="GU5" s="70">
        <f>Cockpit!$A$110</f>
        <v/>
      </c>
      <c r="GV5" s="70">
        <f>Cockpit!$B$110</f>
        <v/>
      </c>
      <c r="GW5" s="70">
        <f>Cockpit!$D$110</f>
        <v/>
      </c>
      <c r="GX5" s="70">
        <f>Cockpit!$E$110</f>
        <v/>
      </c>
      <c r="GY5" s="70">
        <f>Cockpit!$F$110</f>
        <v/>
      </c>
      <c r="GZ5" s="70">
        <f>Cockpit!$H$110</f>
        <v/>
      </c>
      <c r="HA5" s="70">
        <f>Cockpit!$I$110</f>
        <v/>
      </c>
      <c r="HB5" s="70">
        <f>Cockpit!$J$110</f>
        <v/>
      </c>
      <c r="HC5" s="70">
        <f>Cockpit!$K$110</f>
        <v/>
      </c>
      <c r="HD5" s="70">
        <f>Cockpit!$L$110</f>
        <v/>
      </c>
      <c r="HE5" s="70">
        <f>Cockpit!$N$110</f>
        <v/>
      </c>
      <c r="HF5" s="70">
        <f>Cockpit!$O$110</f>
        <v/>
      </c>
      <c r="HG5" s="70">
        <f>Cockpit!$Q$110</f>
        <v/>
      </c>
      <c r="HH5" s="70">
        <f>Cockpit!$A$111</f>
        <v/>
      </c>
      <c r="HI5" s="70">
        <f>Cockpit!$B$111</f>
        <v/>
      </c>
      <c r="HJ5" s="70">
        <f>Cockpit!$D$111</f>
        <v/>
      </c>
      <c r="HK5" s="70">
        <f>Cockpit!$E$111</f>
        <v/>
      </c>
      <c r="HL5" s="70">
        <f>Cockpit!$F$111</f>
        <v/>
      </c>
      <c r="HM5" s="70">
        <f>Cockpit!$H$111</f>
        <v/>
      </c>
      <c r="HN5" s="70">
        <f>Cockpit!$I$111</f>
        <v/>
      </c>
      <c r="HO5" s="70">
        <f>Cockpit!$J$111</f>
        <v/>
      </c>
      <c r="HP5" s="70">
        <f>Cockpit!$K$111</f>
        <v/>
      </c>
      <c r="HQ5" s="70">
        <f>Cockpit!$L$111</f>
        <v/>
      </c>
      <c r="HR5" s="70">
        <f>Cockpit!$N$111</f>
        <v/>
      </c>
      <c r="HS5" s="70">
        <f>Cockpit!$O$111</f>
        <v/>
      </c>
      <c r="HT5" s="70">
        <f>Cockpit!$Q$111</f>
        <v/>
      </c>
      <c r="HU5" s="70">
        <f>Cockpit!$A$112</f>
        <v/>
      </c>
      <c r="HV5" s="70">
        <f>Cockpit!$B$112</f>
        <v/>
      </c>
      <c r="HW5" s="70">
        <f>Cockpit!$D$112</f>
        <v/>
      </c>
      <c r="HX5" s="70">
        <f>Cockpit!$E$112</f>
        <v/>
      </c>
      <c r="HY5" s="70">
        <f>Cockpit!$F$112</f>
        <v/>
      </c>
      <c r="HZ5" s="70">
        <f>Cockpit!$H$112</f>
        <v/>
      </c>
      <c r="IA5" s="70">
        <f>Cockpit!$I$112</f>
        <v/>
      </c>
      <c r="IB5" s="70">
        <f>Cockpit!$J$112</f>
        <v/>
      </c>
      <c r="IC5" s="70">
        <f>Cockpit!$K$112</f>
        <v/>
      </c>
      <c r="ID5" s="70">
        <f>Cockpit!$L$112</f>
        <v/>
      </c>
      <c r="IE5" s="70">
        <f>Cockpit!$N$112</f>
        <v/>
      </c>
      <c r="IF5" s="70">
        <f>Cockpit!$O$112</f>
        <v/>
      </c>
      <c r="IG5" s="70">
        <f>Cockpit!$Q$112</f>
        <v/>
      </c>
      <c r="IH5" s="70">
        <f>Cockpit!$A$113</f>
        <v/>
      </c>
      <c r="II5" s="70">
        <f>Cockpit!$B$113</f>
        <v/>
      </c>
      <c r="IJ5" s="70">
        <f>Cockpit!$D$113</f>
        <v/>
      </c>
      <c r="IK5" s="70">
        <f>Cockpit!$E$113</f>
        <v/>
      </c>
      <c r="IL5" s="70">
        <f>Cockpit!$F$113</f>
        <v/>
      </c>
      <c r="IM5" s="70">
        <f>Cockpit!$H$113</f>
        <v/>
      </c>
      <c r="IN5" s="70">
        <f>Cockpit!$I$113</f>
        <v/>
      </c>
      <c r="IO5" s="70">
        <f>Cockpit!$J$113</f>
        <v/>
      </c>
      <c r="IP5" s="70">
        <f>Cockpit!$K$113</f>
        <v/>
      </c>
      <c r="IQ5" s="70">
        <f>Cockpit!$L$113</f>
        <v/>
      </c>
      <c r="IR5" s="70">
        <f>Cockpit!$N$113</f>
        <v/>
      </c>
      <c r="IS5" s="70">
        <f>Cockpit!$O$113</f>
        <v/>
      </c>
      <c r="IT5" s="70">
        <f>Cockpit!$Q$113</f>
        <v/>
      </c>
      <c r="IU5" s="70">
        <f>Cockpit!$A$114</f>
        <v/>
      </c>
      <c r="IV5" s="70">
        <f>Cockpit!$B$114</f>
        <v/>
      </c>
      <c r="IW5" s="70">
        <f>Cockpit!$D$114</f>
        <v/>
      </c>
      <c r="IX5" s="70">
        <f>Cockpit!$E$114</f>
        <v/>
      </c>
      <c r="IY5" s="70">
        <f>Cockpit!$F$114</f>
        <v/>
      </c>
      <c r="IZ5" s="70">
        <f>Cockpit!$H$114</f>
        <v/>
      </c>
      <c r="JA5" s="70">
        <f>Cockpit!$I$114</f>
        <v/>
      </c>
      <c r="JB5" s="70">
        <f>Cockpit!$J$114</f>
        <v/>
      </c>
      <c r="JC5" s="70">
        <f>Cockpit!$K$114</f>
        <v/>
      </c>
      <c r="JD5" s="70">
        <f>Cockpit!$L$114</f>
        <v/>
      </c>
      <c r="JE5" s="70">
        <f>Cockpit!$N$114</f>
        <v/>
      </c>
      <c r="JF5" s="70">
        <f>Cockpit!$O$114</f>
        <v/>
      </c>
      <c r="JG5" s="70">
        <f>Cockpit!$Q$114</f>
        <v/>
      </c>
      <c r="JH5" s="70">
        <f>Cockpit!$A$115</f>
        <v/>
      </c>
      <c r="JI5" s="70">
        <f>Cockpit!$B$115</f>
        <v/>
      </c>
      <c r="JJ5" s="70">
        <f>Cockpit!$D$115</f>
        <v/>
      </c>
      <c r="JK5" s="70">
        <f>Cockpit!$E$115</f>
        <v/>
      </c>
      <c r="JL5" s="70">
        <f>Cockpit!$F$115</f>
        <v/>
      </c>
      <c r="JM5" s="70">
        <f>Cockpit!$H$115</f>
        <v/>
      </c>
      <c r="JN5" s="70">
        <f>Cockpit!$I$115</f>
        <v/>
      </c>
      <c r="JO5" s="70">
        <f>Cockpit!$J$115</f>
        <v/>
      </c>
      <c r="JP5" s="70">
        <f>Cockpit!$K$115</f>
        <v/>
      </c>
      <c r="JQ5" s="70">
        <f>Cockpit!$L$115</f>
        <v/>
      </c>
      <c r="JR5" s="70">
        <f>Cockpit!$N$115</f>
        <v/>
      </c>
      <c r="JS5" s="70">
        <f>Cockpit!$O$115</f>
        <v/>
      </c>
      <c r="JT5" s="70">
        <f>Cockpit!$Q$115</f>
        <v/>
      </c>
      <c r="JU5" s="70">
        <f>Cockpit!$A$116</f>
        <v/>
      </c>
      <c r="JV5" s="70">
        <f>Cockpit!$B$116</f>
        <v/>
      </c>
      <c r="JW5" s="70">
        <f>Cockpit!$D$116</f>
        <v/>
      </c>
      <c r="JX5" s="70">
        <f>Cockpit!$E$116</f>
        <v/>
      </c>
      <c r="JY5" s="70">
        <f>Cockpit!$F$116</f>
        <v/>
      </c>
      <c r="JZ5" s="70">
        <f>Cockpit!$H$116</f>
        <v/>
      </c>
      <c r="KA5" s="70">
        <f>Cockpit!$I$116</f>
        <v/>
      </c>
      <c r="KB5" s="70">
        <f>Cockpit!$J$116</f>
        <v/>
      </c>
      <c r="KC5" s="70">
        <f>Cockpit!$K$116</f>
        <v/>
      </c>
      <c r="KD5" s="70">
        <f>Cockpit!$L$116</f>
        <v/>
      </c>
      <c r="KE5" s="70">
        <f>Cockpit!$N$116</f>
        <v/>
      </c>
      <c r="KF5" s="70">
        <f>Cockpit!$O$116</f>
        <v/>
      </c>
      <c r="KG5" s="70">
        <f>Cockpit!$Q$116</f>
        <v/>
      </c>
      <c r="KH5" s="70">
        <f>Cockpit!$A$117</f>
        <v/>
      </c>
      <c r="KI5" s="70">
        <f>Cockpit!$B$117</f>
        <v/>
      </c>
      <c r="KJ5" s="70">
        <f>Cockpit!$D$117</f>
        <v/>
      </c>
      <c r="KK5" s="70">
        <f>Cockpit!$E$117</f>
        <v/>
      </c>
      <c r="KL5" s="70">
        <f>Cockpit!$F$117</f>
        <v/>
      </c>
      <c r="KM5" s="70">
        <f>Cockpit!$H$117</f>
        <v/>
      </c>
      <c r="KN5" s="70">
        <f>Cockpit!$I$117</f>
        <v/>
      </c>
      <c r="KO5" s="70">
        <f>Cockpit!$J$117</f>
        <v/>
      </c>
      <c r="KP5" s="70">
        <f>Cockpit!$K$117</f>
        <v/>
      </c>
      <c r="KQ5" s="70">
        <f>Cockpit!$L$117</f>
        <v/>
      </c>
      <c r="KR5" s="70">
        <f>Cockpit!$N$117</f>
        <v/>
      </c>
      <c r="KS5" s="70">
        <f>Cockpit!$O$117</f>
        <v/>
      </c>
      <c r="KT5" s="70">
        <f>Cockpit!$Q$117</f>
        <v/>
      </c>
      <c r="KU5" s="70">
        <f>Cockpit!$A$118</f>
        <v/>
      </c>
      <c r="KV5" s="70">
        <f>Cockpit!$B$118</f>
        <v/>
      </c>
      <c r="KW5" s="70">
        <f>Cockpit!$D$118</f>
        <v/>
      </c>
      <c r="KX5" s="70">
        <f>Cockpit!$E$118</f>
        <v/>
      </c>
      <c r="KY5" s="70">
        <f>Cockpit!$F$118</f>
        <v/>
      </c>
      <c r="KZ5" s="70">
        <f>Cockpit!$H$118</f>
        <v/>
      </c>
      <c r="LA5" s="70">
        <f>Cockpit!$I$118</f>
        <v/>
      </c>
      <c r="LB5" s="70">
        <f>Cockpit!$J$118</f>
        <v/>
      </c>
      <c r="LC5" s="70">
        <f>Cockpit!$K$118</f>
        <v/>
      </c>
      <c r="LD5" s="70">
        <f>Cockpit!$L$118</f>
        <v/>
      </c>
      <c r="LE5" s="70">
        <f>Cockpit!$N$118</f>
        <v/>
      </c>
      <c r="LF5" s="70">
        <f>Cockpit!$O$118</f>
        <v/>
      </c>
      <c r="LG5" s="70">
        <f>Cockpit!$Q$118</f>
        <v/>
      </c>
      <c r="LH5" s="70">
        <f>Cockpit!$A$119</f>
        <v/>
      </c>
      <c r="LI5" s="70">
        <f>Cockpit!$B$119</f>
        <v/>
      </c>
      <c r="LJ5" s="70">
        <f>Cockpit!$D$119</f>
        <v/>
      </c>
      <c r="LK5" s="70">
        <f>Cockpit!$E$119</f>
        <v/>
      </c>
      <c r="LL5" s="70">
        <f>Cockpit!$F$119</f>
        <v/>
      </c>
      <c r="LM5" s="70">
        <f>Cockpit!$H$119</f>
        <v/>
      </c>
      <c r="LN5" s="70">
        <f>Cockpit!$I$119</f>
        <v/>
      </c>
      <c r="LO5" s="70">
        <f>Cockpit!$J$119</f>
        <v/>
      </c>
      <c r="LP5" s="70">
        <f>Cockpit!$K$119</f>
        <v/>
      </c>
      <c r="LQ5" s="70">
        <f>Cockpit!$L$119</f>
        <v/>
      </c>
      <c r="LR5" s="70">
        <f>Cockpit!$N$119</f>
        <v/>
      </c>
      <c r="LS5" s="70">
        <f>Cockpit!$O$119</f>
        <v/>
      </c>
      <c r="LT5" s="70">
        <f>Cockpit!$Q$119</f>
        <v/>
      </c>
      <c r="LU5" s="70">
        <f>Cockpit!$A$120</f>
        <v/>
      </c>
      <c r="LV5" s="70">
        <f>Cockpit!$B$120</f>
        <v/>
      </c>
      <c r="LW5" s="70">
        <f>Cockpit!$D$120</f>
        <v/>
      </c>
      <c r="LX5" s="70">
        <f>Cockpit!$E$120</f>
        <v/>
      </c>
      <c r="LY5" s="70">
        <f>Cockpit!$F$120</f>
        <v/>
      </c>
      <c r="LZ5" s="70">
        <f>Cockpit!$H$120</f>
        <v/>
      </c>
      <c r="MA5" s="70">
        <f>Cockpit!$I$120</f>
        <v/>
      </c>
      <c r="MB5" s="70">
        <f>Cockpit!$J$120</f>
        <v/>
      </c>
      <c r="MC5" s="70">
        <f>Cockpit!$K$120</f>
        <v/>
      </c>
      <c r="MD5" s="70">
        <f>Cockpit!$L$120</f>
        <v/>
      </c>
      <c r="ME5" s="70">
        <f>Cockpit!$N$120</f>
        <v/>
      </c>
      <c r="MF5" s="70">
        <f>Cockpit!$O$120</f>
        <v/>
      </c>
      <c r="MG5" s="70">
        <f>Cockpit!$Q$120</f>
        <v/>
      </c>
      <c r="MH5" s="70">
        <f>Cockpit!$B$122</f>
        <v/>
      </c>
      <c r="MI5" s="70">
        <f>Cockpit!$I$127</f>
        <v/>
      </c>
      <c r="MJ5" s="70">
        <f>Cockpit!$J$127</f>
        <v/>
      </c>
      <c r="MK5" s="70">
        <f>Cockpit!$K$127</f>
        <v/>
      </c>
      <c r="ML5" s="70">
        <f>Cockpit!$L$127</f>
        <v/>
      </c>
      <c r="MM5" s="70">
        <f>Cockpit!$M$127</f>
        <v/>
      </c>
      <c r="MN5" s="70">
        <f>Cockpit!$I$128</f>
        <v/>
      </c>
      <c r="MO5" s="70">
        <f>Cockpit!$J$128</f>
        <v/>
      </c>
      <c r="MP5" s="70">
        <f>Cockpit!$K$128</f>
        <v/>
      </c>
      <c r="MQ5" s="70">
        <f>Cockpit!$L$128</f>
        <v/>
      </c>
      <c r="MR5" s="70">
        <f>Cockpit!$M$128</f>
        <v/>
      </c>
      <c r="MS5" s="70">
        <f>Cockpit!$I$129</f>
        <v/>
      </c>
      <c r="MT5" s="70">
        <f>Cockpit!$J$129</f>
        <v/>
      </c>
      <c r="MU5" s="70">
        <f>Cockpit!$K$129</f>
        <v/>
      </c>
      <c r="MV5" s="70">
        <f>Cockpit!$L$129</f>
        <v/>
      </c>
      <c r="MW5" s="70">
        <f>Cockpit!$M$129</f>
        <v/>
      </c>
      <c r="MX5" s="70">
        <f>Cockpit!$I$130</f>
        <v/>
      </c>
      <c r="MY5" s="70">
        <f>Cockpit!$J$130</f>
        <v/>
      </c>
      <c r="MZ5" s="70">
        <f>Cockpit!$K$130</f>
        <v/>
      </c>
      <c r="NA5" s="70">
        <f>Cockpit!$L$130</f>
        <v/>
      </c>
      <c r="NB5" s="70">
        <f>Cockpit!$M$130</f>
        <v/>
      </c>
      <c r="NC5" s="70">
        <f>Cockpit!$I$131</f>
        <v/>
      </c>
      <c r="ND5" s="70">
        <f>Cockpit!$J$131</f>
        <v/>
      </c>
      <c r="NE5" s="70">
        <f>Cockpit!$K$131</f>
        <v/>
      </c>
      <c r="NF5" s="70">
        <f>Cockpit!$L$131</f>
        <v/>
      </c>
      <c r="NG5" s="70">
        <f>Cockpit!$M$131</f>
        <v/>
      </c>
      <c r="NH5" s="70">
        <f>Cockpit!$B$136</f>
        <v/>
      </c>
      <c r="NI5" s="70">
        <f>Cockpit!$E$136</f>
        <v/>
      </c>
      <c r="NJ5" s="70">
        <f>Cockpit!$B$137</f>
        <v/>
      </c>
      <c r="NK5" s="70">
        <f>Cockpit!$E$137</f>
        <v/>
      </c>
      <c r="NL5" s="70">
        <f>Cockpit!$B$138</f>
        <v/>
      </c>
      <c r="NM5" s="70">
        <f>Cockpit!$E$138</f>
        <v/>
      </c>
      <c r="NN5" s="70">
        <f>Cockpit!$B$139</f>
        <v/>
      </c>
      <c r="NO5" s="70">
        <f>Cockpit!$E$139</f>
        <v/>
      </c>
      <c r="NP5" s="70">
        <f>Cockpit!$B$140</f>
        <v/>
      </c>
      <c r="NQ5" s="70">
        <f>Cockpit!$E$140</f>
        <v/>
      </c>
      <c r="NR5" s="70">
        <f>Cockpit!$B$141</f>
        <v/>
      </c>
      <c r="NS5" s="70">
        <f>Cockpit!$E$141</f>
        <v/>
      </c>
      <c r="NT5" s="70">
        <f>Cockpit!$B$142</f>
        <v/>
      </c>
      <c r="NU5" s="70">
        <f>Cockpit!$B$144</f>
        <v/>
      </c>
      <c r="NV5" s="70">
        <f>Cockpit!$E$144</f>
        <v/>
      </c>
      <c r="NW5" s="70">
        <f>Cockpit!$B$145</f>
        <v/>
      </c>
      <c r="NX5" s="70">
        <f>Cockpit!$E$145</f>
        <v/>
      </c>
      <c r="NY5" s="70">
        <f>Cockpit!$B$146</f>
        <v/>
      </c>
      <c r="NZ5" s="70">
        <f>Cockpit!$E$146</f>
        <v/>
      </c>
      <c r="OA5" s="70">
        <f>Cockpit!$B$147</f>
        <v/>
      </c>
      <c r="OB5" s="70">
        <f>Cockpit!$E$147</f>
        <v/>
      </c>
      <c r="OC5" s="70">
        <f>Cockpit!$B$148</f>
        <v/>
      </c>
      <c r="OD5" s="70">
        <f>Cockpit!$E$148</f>
        <v/>
      </c>
      <c r="OE5" s="70">
        <f>Cockpit!$B$149</f>
        <v/>
      </c>
      <c r="OF5" s="70">
        <f>Cockpit!$E$149</f>
        <v/>
      </c>
      <c r="OG5" s="70">
        <f>Cockpit!$B$150</f>
        <v/>
      </c>
    </row>
    <row r="6">
      <c r="A6" s="70" t="n">
        <v>2</v>
      </c>
      <c r="B6" s="70" t="inlineStr">
        <is>
          <t>1-2B</t>
        </is>
      </c>
      <c r="C6" s="70" t="inlineStr">
        <is>
          <t>Site 1 - Bldg 2B</t>
        </is>
      </c>
      <c r="D6" s="70" t="inlineStr">
        <is>
          <t>2026-06-23</t>
        </is>
      </c>
      <c r="E6" s="70" t="inlineStr">
        <is>
          <t>seed</t>
        </is>
      </c>
      <c r="F6" s="70" t="inlineStr">
        <is>
          <t>initial seed record</t>
        </is>
      </c>
      <c r="G6" s="70" t="inlineStr"/>
      <c r="H6" s="70" t="inlineStr"/>
      <c r="I6" s="70" t="inlineStr"/>
      <c r="J6" s="70" t="inlineStr"/>
      <c r="K6" s="70" t="inlineStr"/>
      <c r="L6" s="70" t="inlineStr"/>
      <c r="M6" s="70" t="inlineStr"/>
      <c r="N6" s="70" t="inlineStr"/>
      <c r="O6" s="70" t="inlineStr"/>
      <c r="P6" s="70" t="inlineStr"/>
      <c r="Q6" s="70" t="inlineStr"/>
      <c r="R6" s="70" t="inlineStr"/>
      <c r="S6" s="70" t="inlineStr"/>
      <c r="T6" s="70" t="inlineStr"/>
      <c r="U6" s="70" t="inlineStr"/>
      <c r="V6" s="70" t="inlineStr"/>
      <c r="W6" s="70" t="inlineStr"/>
      <c r="X6" s="70" t="inlineStr"/>
      <c r="Y6" s="70" t="inlineStr"/>
      <c r="Z6" s="70" t="inlineStr"/>
      <c r="AA6" s="70" t="inlineStr"/>
      <c r="AB6" s="70" t="inlineStr"/>
      <c r="AC6" s="70" t="inlineStr"/>
      <c r="AD6" s="70" t="inlineStr"/>
      <c r="AE6" s="70" t="inlineStr"/>
      <c r="AF6" s="70" t="inlineStr"/>
      <c r="AG6" s="70" t="inlineStr"/>
      <c r="AH6" s="70" t="inlineStr"/>
      <c r="AI6" s="70" t="inlineStr"/>
      <c r="AJ6" s="70" t="inlineStr"/>
      <c r="AK6" s="70" t="inlineStr"/>
      <c r="AL6" s="70" t="inlineStr"/>
      <c r="AM6" s="70" t="inlineStr"/>
      <c r="AN6" s="70" t="inlineStr"/>
      <c r="AO6" s="70" t="inlineStr"/>
      <c r="AP6" s="70" t="inlineStr"/>
      <c r="AQ6" s="70" t="inlineStr"/>
      <c r="AR6" s="70" t="inlineStr"/>
      <c r="AS6" s="70" t="inlineStr"/>
      <c r="AT6" s="70" t="inlineStr"/>
      <c r="AU6" s="70" t="inlineStr"/>
      <c r="AV6" s="70" t="inlineStr"/>
      <c r="AW6" s="70" t="inlineStr"/>
      <c r="AX6" s="70" t="inlineStr"/>
      <c r="AY6" s="70" t="inlineStr"/>
      <c r="AZ6" s="70" t="inlineStr"/>
      <c r="BA6" s="70" t="inlineStr"/>
      <c r="BB6" s="70" t="inlineStr"/>
      <c r="BC6" s="70" t="inlineStr"/>
      <c r="BD6" s="70" t="inlineStr"/>
      <c r="BE6" s="70" t="inlineStr"/>
      <c r="BF6" s="70" t="inlineStr"/>
      <c r="BG6" s="70" t="inlineStr"/>
      <c r="BH6" s="70" t="inlineStr"/>
      <c r="BI6" s="70" t="inlineStr"/>
      <c r="BJ6" s="70" t="inlineStr"/>
      <c r="BK6" s="70" t="inlineStr"/>
      <c r="BL6" s="70" t="inlineStr"/>
      <c r="BM6" s="70" t="inlineStr"/>
      <c r="BN6" s="70" t="inlineStr"/>
      <c r="BO6" s="70" t="inlineStr"/>
      <c r="BP6" s="70" t="inlineStr"/>
      <c r="BQ6" s="70" t="inlineStr"/>
      <c r="BR6" s="70" t="inlineStr"/>
      <c r="BS6" s="70" t="inlineStr"/>
      <c r="BT6" s="70" t="inlineStr"/>
      <c r="BU6" s="70" t="inlineStr"/>
      <c r="BV6" s="70" t="inlineStr"/>
      <c r="BW6" s="70" t="inlineStr"/>
      <c r="BX6" s="70" t="inlineStr"/>
      <c r="BY6" s="70" t="inlineStr"/>
      <c r="BZ6" s="70" t="inlineStr"/>
      <c r="CA6" s="70" t="inlineStr"/>
      <c r="CB6" s="70" t="inlineStr"/>
      <c r="CC6" s="70" t="inlineStr"/>
      <c r="CD6" s="70" t="inlineStr"/>
      <c r="CE6" s="70" t="inlineStr"/>
      <c r="CF6" s="70" t="inlineStr"/>
      <c r="CG6" s="70" t="inlineStr"/>
      <c r="CH6" s="70" t="inlineStr"/>
      <c r="CI6" s="70" t="inlineStr"/>
      <c r="CJ6" s="70" t="inlineStr"/>
      <c r="CK6" s="70" t="inlineStr"/>
      <c r="CL6" s="70" t="inlineStr"/>
      <c r="CM6" s="70" t="inlineStr"/>
      <c r="CN6" s="70" t="inlineStr"/>
      <c r="CO6" s="70" t="inlineStr"/>
      <c r="CP6" s="70" t="inlineStr"/>
      <c r="CQ6" s="70" t="inlineStr"/>
      <c r="CR6" s="70" t="inlineStr"/>
      <c r="CS6" s="70" t="inlineStr"/>
      <c r="CT6" s="70" t="inlineStr"/>
      <c r="CU6" s="70" t="inlineStr"/>
      <c r="CV6" s="70" t="inlineStr"/>
      <c r="CW6" s="70" t="inlineStr"/>
      <c r="CX6" s="70" t="inlineStr"/>
      <c r="CY6" s="70" t="inlineStr"/>
      <c r="CZ6" s="70" t="inlineStr"/>
      <c r="DA6" s="70" t="inlineStr"/>
      <c r="DB6" s="70" t="inlineStr"/>
      <c r="DC6" s="70" t="inlineStr"/>
      <c r="DD6" s="70" t="inlineStr"/>
      <c r="DE6" s="70" t="inlineStr"/>
      <c r="DF6" s="70" t="inlineStr"/>
      <c r="DG6" s="70" t="inlineStr"/>
      <c r="DH6" s="70" t="inlineStr"/>
      <c r="DI6" s="70" t="inlineStr"/>
      <c r="DJ6" s="70" t="inlineStr"/>
      <c r="DK6" s="70" t="inlineStr"/>
      <c r="DL6" s="70" t="inlineStr"/>
      <c r="DM6" s="70" t="inlineStr"/>
      <c r="DN6" s="70" t="inlineStr"/>
      <c r="DO6" s="70" t="inlineStr"/>
      <c r="DP6" s="70" t="inlineStr"/>
      <c r="DQ6" s="70" t="inlineStr"/>
      <c r="DR6" s="70" t="inlineStr"/>
      <c r="DS6" s="70" t="inlineStr"/>
      <c r="DT6" s="70" t="inlineStr"/>
      <c r="DU6" s="70" t="inlineStr"/>
      <c r="DV6" s="70" t="inlineStr"/>
      <c r="DW6" s="70" t="inlineStr"/>
      <c r="DX6" s="70" t="inlineStr"/>
      <c r="DY6" s="70" t="inlineStr"/>
      <c r="DZ6" s="70" t="inlineStr"/>
      <c r="EA6" s="70" t="inlineStr"/>
      <c r="EB6" s="70" t="inlineStr"/>
      <c r="EC6" s="70" t="inlineStr"/>
      <c r="ED6" s="70" t="inlineStr"/>
      <c r="EE6" s="70" t="inlineStr"/>
      <c r="EF6" s="70" t="inlineStr"/>
      <c r="EG6" s="70" t="inlineStr"/>
      <c r="EH6" s="70" t="inlineStr"/>
      <c r="EI6" s="70" t="inlineStr"/>
      <c r="EJ6" s="70" t="inlineStr"/>
      <c r="EK6" s="70" t="inlineStr"/>
      <c r="EL6" s="70" t="inlineStr"/>
      <c r="EM6" s="70" t="inlineStr"/>
      <c r="EN6" s="70" t="inlineStr"/>
      <c r="EO6" s="70" t="inlineStr"/>
      <c r="EP6" s="70" t="inlineStr"/>
      <c r="EQ6" s="70" t="inlineStr"/>
      <c r="ER6" s="70" t="inlineStr"/>
      <c r="ES6" s="70" t="inlineStr"/>
      <c r="ET6" s="70" t="inlineStr"/>
      <c r="EU6" s="70" t="inlineStr"/>
      <c r="EV6" s="70" t="inlineStr"/>
      <c r="EW6" s="70" t="inlineStr"/>
      <c r="EX6" s="70" t="inlineStr"/>
      <c r="EY6" s="70" t="inlineStr"/>
      <c r="EZ6" s="70" t="inlineStr"/>
      <c r="FA6" s="70" t="inlineStr"/>
      <c r="FB6" s="70" t="inlineStr"/>
      <c r="FC6" s="70" t="inlineStr"/>
      <c r="FD6" s="70" t="inlineStr"/>
      <c r="FE6" s="70" t="inlineStr"/>
      <c r="FF6" s="70" t="inlineStr"/>
      <c r="FG6" s="70" t="inlineStr"/>
      <c r="FH6" s="70" t="inlineStr"/>
      <c r="FI6" s="70" t="inlineStr"/>
      <c r="FJ6" s="70" t="inlineStr"/>
      <c r="FK6" s="70" t="inlineStr"/>
      <c r="FL6" s="70" t="inlineStr"/>
      <c r="FM6" s="70" t="inlineStr"/>
      <c r="FN6" s="70" t="inlineStr"/>
      <c r="FO6" s="70" t="inlineStr"/>
      <c r="FP6" s="70" t="inlineStr"/>
      <c r="FQ6" s="70" t="inlineStr"/>
      <c r="FR6" s="70" t="inlineStr"/>
      <c r="FS6" s="70" t="inlineStr"/>
      <c r="FT6" s="70" t="inlineStr"/>
      <c r="FU6" s="70" t="inlineStr"/>
      <c r="FV6" s="70" t="inlineStr"/>
      <c r="FW6" s="70" t="inlineStr"/>
      <c r="FX6" s="70" t="inlineStr"/>
      <c r="FY6" s="70" t="inlineStr"/>
      <c r="FZ6" s="70" t="inlineStr"/>
      <c r="GA6" s="70" t="inlineStr"/>
      <c r="GB6" s="70" t="inlineStr"/>
      <c r="GC6" s="70" t="inlineStr"/>
      <c r="GD6" s="70" t="inlineStr"/>
      <c r="GE6" s="70" t="inlineStr"/>
      <c r="GF6" s="70" t="inlineStr"/>
      <c r="GG6" s="70" t="inlineStr"/>
      <c r="GH6" s="70" t="inlineStr"/>
      <c r="GI6" s="70" t="inlineStr"/>
      <c r="GJ6" s="70" t="inlineStr"/>
      <c r="GK6" s="70" t="inlineStr"/>
      <c r="GL6" s="70" t="inlineStr"/>
      <c r="GM6" s="70" t="inlineStr"/>
      <c r="GN6" s="70" t="inlineStr"/>
      <c r="GO6" s="70" t="inlineStr"/>
      <c r="GP6" s="70" t="inlineStr"/>
      <c r="GQ6" s="70" t="inlineStr"/>
      <c r="GR6" s="70" t="inlineStr"/>
      <c r="GS6" s="70" t="inlineStr"/>
      <c r="GT6" s="70" t="inlineStr"/>
      <c r="GU6" s="70" t="inlineStr"/>
      <c r="GV6" s="70" t="inlineStr"/>
      <c r="GW6" s="70" t="inlineStr"/>
      <c r="GX6" s="70" t="inlineStr"/>
      <c r="GY6" s="70" t="inlineStr"/>
      <c r="GZ6" s="70" t="inlineStr"/>
      <c r="HA6" s="70" t="inlineStr"/>
      <c r="HB6" s="70" t="inlineStr"/>
      <c r="HC6" s="70" t="inlineStr"/>
      <c r="HD6" s="70" t="inlineStr"/>
      <c r="HE6" s="70" t="inlineStr"/>
      <c r="HF6" s="70" t="inlineStr"/>
      <c r="HG6" s="70" t="inlineStr"/>
      <c r="HH6" s="70" t="inlineStr"/>
      <c r="HI6" s="70" t="inlineStr"/>
      <c r="HJ6" s="70" t="inlineStr"/>
      <c r="HK6" s="70" t="inlineStr"/>
      <c r="HL6" s="70" t="inlineStr"/>
      <c r="HM6" s="70" t="inlineStr"/>
      <c r="HN6" s="70" t="inlineStr"/>
      <c r="HO6" s="70" t="inlineStr"/>
      <c r="HP6" s="70" t="inlineStr"/>
      <c r="HQ6" s="70" t="inlineStr"/>
      <c r="HR6" s="70" t="inlineStr"/>
      <c r="HS6" s="70" t="inlineStr"/>
      <c r="HT6" s="70" t="inlineStr"/>
      <c r="HU6" s="70" t="inlineStr"/>
      <c r="HV6" s="70" t="inlineStr"/>
      <c r="HW6" s="70" t="inlineStr"/>
      <c r="HX6" s="70" t="inlineStr"/>
      <c r="HY6" s="70" t="inlineStr"/>
      <c r="HZ6" s="70" t="inlineStr"/>
      <c r="IA6" s="70" t="inlineStr"/>
      <c r="IB6" s="70" t="inlineStr"/>
      <c r="IC6" s="70" t="inlineStr"/>
      <c r="ID6" s="70" t="inlineStr"/>
      <c r="IE6" s="70" t="inlineStr"/>
      <c r="IF6" s="70" t="inlineStr"/>
      <c r="IG6" s="70" t="inlineStr"/>
      <c r="IH6" s="70" t="inlineStr"/>
      <c r="II6" s="70" t="inlineStr"/>
      <c r="IJ6" s="70" t="inlineStr"/>
      <c r="IK6" s="70" t="inlineStr"/>
      <c r="IL6" s="70" t="inlineStr"/>
      <c r="IM6" s="70" t="inlineStr"/>
      <c r="IN6" s="70" t="inlineStr"/>
      <c r="IO6" s="70" t="inlineStr"/>
      <c r="IP6" s="70" t="inlineStr"/>
      <c r="IQ6" s="70" t="inlineStr"/>
      <c r="IR6" s="70" t="inlineStr"/>
      <c r="IS6" s="70" t="inlineStr"/>
      <c r="IT6" s="70" t="inlineStr"/>
      <c r="IU6" s="70" t="inlineStr"/>
      <c r="IV6" s="70" t="inlineStr"/>
      <c r="IW6" s="70" t="inlineStr"/>
      <c r="IX6" s="70" t="inlineStr"/>
      <c r="IY6" s="70" t="inlineStr"/>
      <c r="IZ6" s="70" t="inlineStr"/>
      <c r="JA6" s="70" t="inlineStr"/>
      <c r="JB6" s="70" t="inlineStr"/>
      <c r="JC6" s="70" t="inlineStr"/>
      <c r="JD6" s="70" t="inlineStr"/>
      <c r="JE6" s="70" t="inlineStr"/>
      <c r="JF6" s="70" t="inlineStr"/>
      <c r="JG6" s="70" t="inlineStr"/>
      <c r="JH6" s="70" t="inlineStr"/>
      <c r="JI6" s="70" t="inlineStr"/>
      <c r="JJ6" s="70" t="inlineStr"/>
      <c r="JK6" s="70" t="inlineStr"/>
      <c r="JL6" s="70" t="inlineStr"/>
      <c r="JM6" s="70" t="inlineStr"/>
      <c r="JN6" s="70" t="inlineStr"/>
      <c r="JO6" s="70" t="inlineStr"/>
      <c r="JP6" s="70" t="inlineStr"/>
      <c r="JQ6" s="70" t="inlineStr"/>
      <c r="JR6" s="70" t="inlineStr"/>
      <c r="JS6" s="70" t="inlineStr"/>
      <c r="JT6" s="70" t="inlineStr"/>
      <c r="JU6" s="70" t="inlineStr"/>
      <c r="JV6" s="70" t="inlineStr"/>
      <c r="JW6" s="70" t="inlineStr"/>
      <c r="JX6" s="70" t="inlineStr"/>
      <c r="JY6" s="70" t="inlineStr"/>
      <c r="JZ6" s="70" t="inlineStr"/>
      <c r="KA6" s="70" t="inlineStr"/>
      <c r="KB6" s="70" t="inlineStr"/>
      <c r="KC6" s="70" t="inlineStr"/>
      <c r="KD6" s="70" t="inlineStr"/>
      <c r="KE6" s="70" t="inlineStr"/>
      <c r="KF6" s="70" t="inlineStr"/>
      <c r="KG6" s="70" t="inlineStr"/>
      <c r="KH6" s="70" t="inlineStr"/>
      <c r="KI6" s="70" t="inlineStr"/>
      <c r="KJ6" s="70" t="inlineStr"/>
      <c r="KK6" s="70" t="inlineStr"/>
      <c r="KL6" s="70" t="inlineStr"/>
      <c r="KM6" s="70" t="inlineStr"/>
      <c r="KN6" s="70" t="inlineStr"/>
      <c r="KO6" s="70" t="inlineStr"/>
      <c r="KP6" s="70" t="inlineStr"/>
      <c r="KQ6" s="70" t="inlineStr"/>
      <c r="KR6" s="70" t="inlineStr"/>
      <c r="KS6" s="70" t="inlineStr"/>
      <c r="KT6" s="70" t="inlineStr"/>
      <c r="KU6" s="70" t="inlineStr"/>
      <c r="KV6" s="70" t="inlineStr"/>
      <c r="KW6" s="70" t="inlineStr"/>
      <c r="KX6" s="70" t="inlineStr"/>
      <c r="KY6" s="70" t="inlineStr"/>
      <c r="KZ6" s="70" t="inlineStr"/>
      <c r="LA6" s="70" t="inlineStr"/>
      <c r="LB6" s="70" t="inlineStr"/>
      <c r="LC6" s="70" t="inlineStr"/>
      <c r="LD6" s="70" t="inlineStr"/>
      <c r="LE6" s="70" t="inlineStr"/>
      <c r="LF6" s="70" t="inlineStr"/>
      <c r="LG6" s="70" t="inlineStr"/>
      <c r="LH6" s="70" t="inlineStr"/>
      <c r="LI6" s="70" t="inlineStr"/>
      <c r="LJ6" s="70" t="inlineStr"/>
      <c r="LK6" s="70" t="inlineStr"/>
      <c r="LL6" s="70" t="inlineStr"/>
      <c r="LM6" s="70" t="inlineStr"/>
      <c r="LN6" s="70" t="inlineStr"/>
      <c r="LO6" s="70" t="inlineStr"/>
      <c r="LP6" s="70" t="inlineStr"/>
      <c r="LQ6" s="70" t="inlineStr"/>
      <c r="LR6" s="70" t="inlineStr"/>
      <c r="LS6" s="70" t="inlineStr"/>
      <c r="LT6" s="70" t="inlineStr"/>
      <c r="LU6" s="70" t="inlineStr"/>
      <c r="LV6" s="70" t="inlineStr"/>
      <c r="LW6" s="70" t="inlineStr"/>
      <c r="LX6" s="70" t="inlineStr"/>
      <c r="LY6" s="70" t="inlineStr"/>
      <c r="LZ6" s="70" t="inlineStr"/>
      <c r="MA6" s="70" t="inlineStr"/>
      <c r="MB6" s="70" t="inlineStr"/>
      <c r="MC6" s="70" t="inlineStr"/>
      <c r="MD6" s="70" t="inlineStr"/>
      <c r="ME6" s="70" t="inlineStr"/>
      <c r="MF6" s="70" t="inlineStr"/>
      <c r="MG6" s="70" t="inlineStr"/>
      <c r="MH6" s="70" t="inlineStr"/>
      <c r="MI6" s="70" t="inlineStr"/>
      <c r="MJ6" s="70" t="inlineStr"/>
      <c r="MK6" s="70" t="inlineStr"/>
      <c r="ML6" s="70" t="inlineStr"/>
      <c r="MM6" s="70" t="inlineStr"/>
      <c r="MN6" s="70" t="inlineStr"/>
      <c r="MO6" s="70" t="inlineStr"/>
      <c r="MP6" s="70" t="inlineStr"/>
      <c r="MQ6" s="70" t="inlineStr"/>
      <c r="MR6" s="70" t="inlineStr"/>
      <c r="MS6" s="70" t="inlineStr"/>
      <c r="MT6" s="70" t="inlineStr"/>
      <c r="MU6" s="70" t="inlineStr"/>
      <c r="MV6" s="70" t="inlineStr"/>
      <c r="MW6" s="70" t="inlineStr"/>
      <c r="MX6" s="70" t="inlineStr"/>
      <c r="MY6" s="70" t="inlineStr"/>
      <c r="MZ6" s="70" t="inlineStr"/>
      <c r="NA6" s="70" t="inlineStr"/>
      <c r="NB6" s="70" t="inlineStr"/>
      <c r="NC6" s="70" t="inlineStr"/>
      <c r="ND6" s="70" t="inlineStr"/>
      <c r="NE6" s="70" t="inlineStr"/>
      <c r="NF6" s="70" t="inlineStr"/>
      <c r="NG6" s="70" t="inlineStr"/>
      <c r="NH6" s="70" t="inlineStr"/>
      <c r="NI6" s="70" t="inlineStr"/>
      <c r="NJ6" s="70" t="inlineStr"/>
      <c r="NK6" s="70" t="inlineStr"/>
      <c r="NL6" s="70" t="inlineStr"/>
      <c r="NM6" s="70" t="inlineStr"/>
      <c r="NN6" s="70" t="inlineStr"/>
      <c r="NO6" s="70" t="inlineStr"/>
      <c r="NP6" s="70" t="inlineStr"/>
      <c r="NQ6" s="70" t="inlineStr"/>
      <c r="NR6" s="70" t="inlineStr"/>
      <c r="NS6" s="70" t="inlineStr"/>
      <c r="NT6" s="70" t="inlineStr"/>
      <c r="NU6" s="70" t="inlineStr"/>
      <c r="NV6" s="70" t="inlineStr"/>
      <c r="NW6" s="70" t="inlineStr"/>
      <c r="NX6" s="70" t="inlineStr"/>
      <c r="NY6" s="70" t="inlineStr"/>
      <c r="NZ6" s="70" t="inlineStr"/>
      <c r="OA6" s="70" t="inlineStr"/>
      <c r="OB6" s="70" t="inlineStr"/>
      <c r="OC6" s="70" t="inlineStr"/>
      <c r="OD6" s="70" t="inlineStr"/>
      <c r="OE6" s="70" t="inlineStr"/>
      <c r="OF6" s="70" t="inlineStr"/>
      <c r="OG6" s="70" t="inlineStr"/>
    </row>
    <row r="7">
      <c r="A7" s="70" t="n">
        <v>3</v>
      </c>
      <c r="B7" s="70" t="inlineStr">
        <is>
          <t>3-1B</t>
        </is>
      </c>
      <c r="C7" s="70" t="inlineStr">
        <is>
          <t>Site 3 - Bldg 1B</t>
        </is>
      </c>
      <c r="D7" s="70" t="inlineStr">
        <is>
          <t>2026-06-23</t>
        </is>
      </c>
      <c r="E7" s="70" t="inlineStr">
        <is>
          <t>seed</t>
        </is>
      </c>
      <c r="F7" s="70" t="inlineStr">
        <is>
          <t>initial seed record</t>
        </is>
      </c>
      <c r="G7" s="70" t="inlineStr"/>
      <c r="H7" s="70" t="inlineStr"/>
      <c r="I7" s="70" t="inlineStr"/>
      <c r="J7" s="70" t="inlineStr"/>
      <c r="K7" s="70" t="inlineStr"/>
      <c r="L7" s="70" t="inlineStr"/>
      <c r="M7" s="70" t="inlineStr"/>
      <c r="N7" s="70" t="inlineStr"/>
      <c r="O7" s="70" t="inlineStr"/>
      <c r="P7" s="70" t="inlineStr"/>
      <c r="Q7" s="70" t="inlineStr"/>
      <c r="R7" s="70" t="inlineStr"/>
      <c r="S7" s="70" t="inlineStr"/>
      <c r="T7" s="70" t="inlineStr"/>
      <c r="U7" s="70" t="inlineStr"/>
      <c r="V7" s="70" t="inlineStr"/>
      <c r="W7" s="70" t="inlineStr"/>
      <c r="X7" s="70" t="inlineStr"/>
      <c r="Y7" s="70" t="inlineStr"/>
      <c r="Z7" s="70" t="inlineStr"/>
      <c r="AA7" s="70" t="inlineStr"/>
      <c r="AB7" s="70" t="inlineStr"/>
      <c r="AC7" s="70" t="inlineStr"/>
      <c r="AD7" s="70" t="inlineStr"/>
      <c r="AE7" s="70" t="inlineStr"/>
      <c r="AF7" s="70" t="inlineStr"/>
      <c r="AG7" s="70" t="inlineStr"/>
      <c r="AH7" s="70" t="inlineStr"/>
      <c r="AI7" s="70" t="inlineStr"/>
      <c r="AJ7" s="70" t="inlineStr"/>
      <c r="AK7" s="70" t="inlineStr"/>
      <c r="AL7" s="70" t="inlineStr"/>
      <c r="AM7" s="70" t="inlineStr"/>
      <c r="AN7" s="70" t="inlineStr"/>
      <c r="AO7" s="70" t="inlineStr"/>
      <c r="AP7" s="70" t="inlineStr"/>
      <c r="AQ7" s="70" t="inlineStr"/>
      <c r="AR7" s="70" t="inlineStr"/>
      <c r="AS7" s="70" t="inlineStr"/>
      <c r="AT7" s="70" t="inlineStr"/>
      <c r="AU7" s="70" t="inlineStr"/>
      <c r="AV7" s="70" t="inlineStr"/>
      <c r="AW7" s="70" t="inlineStr"/>
      <c r="AX7" s="70" t="inlineStr"/>
      <c r="AY7" s="70" t="inlineStr"/>
      <c r="AZ7" s="70" t="inlineStr"/>
      <c r="BA7" s="70" t="inlineStr"/>
      <c r="BB7" s="70" t="inlineStr"/>
      <c r="BC7" s="70" t="inlineStr"/>
      <c r="BD7" s="70" t="inlineStr"/>
      <c r="BE7" s="70" t="inlineStr"/>
      <c r="BF7" s="70" t="inlineStr"/>
      <c r="BG7" s="70" t="inlineStr"/>
      <c r="BH7" s="70" t="inlineStr"/>
      <c r="BI7" s="70" t="inlineStr"/>
      <c r="BJ7" s="70" t="inlineStr"/>
      <c r="BK7" s="70" t="inlineStr"/>
      <c r="BL7" s="70" t="inlineStr"/>
      <c r="BM7" s="70" t="inlineStr"/>
      <c r="BN7" s="70" t="inlineStr"/>
      <c r="BO7" s="70" t="inlineStr"/>
      <c r="BP7" s="70" t="inlineStr"/>
      <c r="BQ7" s="70" t="inlineStr"/>
      <c r="BR7" s="70" t="inlineStr"/>
      <c r="BS7" s="70" t="inlineStr"/>
      <c r="BT7" s="70" t="inlineStr"/>
      <c r="BU7" s="70" t="inlineStr"/>
      <c r="BV7" s="70" t="inlineStr"/>
      <c r="BW7" s="70" t="inlineStr"/>
      <c r="BX7" s="70" t="inlineStr"/>
      <c r="BY7" s="70" t="inlineStr"/>
      <c r="BZ7" s="70" t="inlineStr"/>
      <c r="CA7" s="70" t="inlineStr"/>
      <c r="CB7" s="70" t="inlineStr"/>
      <c r="CC7" s="70" t="inlineStr"/>
      <c r="CD7" s="70" t="inlineStr"/>
      <c r="CE7" s="70" t="inlineStr"/>
      <c r="CF7" s="70" t="inlineStr"/>
      <c r="CG7" s="70" t="inlineStr"/>
      <c r="CH7" s="70" t="inlineStr"/>
      <c r="CI7" s="70" t="inlineStr"/>
      <c r="CJ7" s="70" t="inlineStr"/>
      <c r="CK7" s="70" t="inlineStr"/>
      <c r="CL7" s="70" t="inlineStr"/>
      <c r="CM7" s="70" t="inlineStr"/>
      <c r="CN7" s="70" t="inlineStr"/>
      <c r="CO7" s="70" t="inlineStr"/>
      <c r="CP7" s="70" t="inlineStr"/>
      <c r="CQ7" s="70" t="inlineStr"/>
      <c r="CR7" s="70" t="inlineStr"/>
      <c r="CS7" s="70" t="inlineStr"/>
      <c r="CT7" s="70" t="inlineStr"/>
      <c r="CU7" s="70" t="inlineStr"/>
      <c r="CV7" s="70" t="inlineStr"/>
      <c r="CW7" s="70" t="inlineStr"/>
      <c r="CX7" s="70" t="inlineStr"/>
      <c r="CY7" s="70" t="inlineStr"/>
      <c r="CZ7" s="70" t="inlineStr"/>
      <c r="DA7" s="70" t="inlineStr"/>
      <c r="DB7" s="70" t="inlineStr"/>
      <c r="DC7" s="70" t="inlineStr"/>
      <c r="DD7" s="70" t="inlineStr"/>
      <c r="DE7" s="70" t="inlineStr"/>
      <c r="DF7" s="70" t="inlineStr"/>
      <c r="DG7" s="70" t="inlineStr"/>
      <c r="DH7" s="70" t="inlineStr"/>
      <c r="DI7" s="70" t="inlineStr"/>
      <c r="DJ7" s="70" t="inlineStr"/>
      <c r="DK7" s="70" t="inlineStr"/>
      <c r="DL7" s="70" t="inlineStr"/>
      <c r="DM7" s="70" t="inlineStr"/>
      <c r="DN7" s="70" t="inlineStr"/>
      <c r="DO7" s="70" t="inlineStr"/>
      <c r="DP7" s="70" t="inlineStr"/>
      <c r="DQ7" s="70" t="inlineStr"/>
      <c r="DR7" s="70" t="inlineStr"/>
      <c r="DS7" s="70" t="inlineStr"/>
      <c r="DT7" s="70" t="inlineStr"/>
      <c r="DU7" s="70" t="inlineStr"/>
      <c r="DV7" s="70" t="inlineStr"/>
      <c r="DW7" s="70" t="inlineStr"/>
      <c r="DX7" s="70" t="inlineStr"/>
      <c r="DY7" s="70" t="inlineStr"/>
      <c r="DZ7" s="70" t="inlineStr"/>
      <c r="EA7" s="70" t="inlineStr"/>
      <c r="EB7" s="70" t="inlineStr"/>
      <c r="EC7" s="70" t="inlineStr"/>
      <c r="ED7" s="70" t="inlineStr"/>
      <c r="EE7" s="70" t="inlineStr"/>
      <c r="EF7" s="70" t="inlineStr"/>
      <c r="EG7" s="70" t="inlineStr"/>
      <c r="EH7" s="70" t="inlineStr"/>
      <c r="EI7" s="70" t="inlineStr"/>
      <c r="EJ7" s="70" t="inlineStr"/>
      <c r="EK7" s="70" t="inlineStr"/>
      <c r="EL7" s="70" t="inlineStr"/>
      <c r="EM7" s="70" t="inlineStr"/>
      <c r="EN7" s="70" t="inlineStr"/>
      <c r="EO7" s="70" t="inlineStr"/>
      <c r="EP7" s="70" t="inlineStr"/>
      <c r="EQ7" s="70" t="inlineStr"/>
      <c r="ER7" s="70" t="inlineStr"/>
      <c r="ES7" s="70" t="inlineStr"/>
      <c r="ET7" s="70" t="inlineStr"/>
      <c r="EU7" s="70" t="inlineStr"/>
      <c r="EV7" s="70" t="inlineStr"/>
      <c r="EW7" s="70" t="inlineStr"/>
      <c r="EX7" s="70" t="inlineStr"/>
      <c r="EY7" s="70" t="inlineStr"/>
      <c r="EZ7" s="70" t="inlineStr"/>
      <c r="FA7" s="70" t="inlineStr"/>
      <c r="FB7" s="70" t="inlineStr"/>
      <c r="FC7" s="70" t="inlineStr"/>
      <c r="FD7" s="70" t="inlineStr"/>
      <c r="FE7" s="70" t="inlineStr"/>
      <c r="FF7" s="70" t="inlineStr"/>
      <c r="FG7" s="70" t="inlineStr"/>
      <c r="FH7" s="70" t="inlineStr"/>
      <c r="FI7" s="70" t="inlineStr"/>
      <c r="FJ7" s="70" t="inlineStr"/>
      <c r="FK7" s="70" t="inlineStr"/>
      <c r="FL7" s="70" t="inlineStr"/>
      <c r="FM7" s="70" t="inlineStr"/>
      <c r="FN7" s="70" t="inlineStr"/>
      <c r="FO7" s="70" t="inlineStr"/>
      <c r="FP7" s="70" t="inlineStr"/>
      <c r="FQ7" s="70" t="inlineStr"/>
      <c r="FR7" s="70" t="inlineStr"/>
      <c r="FS7" s="70" t="inlineStr"/>
      <c r="FT7" s="70" t="inlineStr"/>
      <c r="FU7" s="70" t="inlineStr"/>
      <c r="FV7" s="70" t="inlineStr"/>
      <c r="FW7" s="70" t="inlineStr"/>
      <c r="FX7" s="70" t="inlineStr"/>
      <c r="FY7" s="70" t="inlineStr"/>
      <c r="FZ7" s="70" t="inlineStr"/>
      <c r="GA7" s="70" t="inlineStr"/>
      <c r="GB7" s="70" t="inlineStr"/>
      <c r="GC7" s="70" t="inlineStr"/>
      <c r="GD7" s="70" t="inlineStr"/>
      <c r="GE7" s="70" t="inlineStr"/>
      <c r="GF7" s="70" t="inlineStr"/>
      <c r="GG7" s="70" t="inlineStr"/>
      <c r="GH7" s="70" t="inlineStr"/>
      <c r="GI7" s="70" t="inlineStr"/>
      <c r="GJ7" s="70" t="inlineStr"/>
      <c r="GK7" s="70" t="inlineStr"/>
      <c r="GL7" s="70" t="inlineStr"/>
      <c r="GM7" s="70" t="inlineStr"/>
      <c r="GN7" s="70" t="inlineStr"/>
      <c r="GO7" s="70" t="inlineStr"/>
      <c r="GP7" s="70" t="inlineStr"/>
      <c r="GQ7" s="70" t="inlineStr"/>
      <c r="GR7" s="70" t="inlineStr"/>
      <c r="GS7" s="70" t="inlineStr"/>
      <c r="GT7" s="70" t="inlineStr"/>
      <c r="GU7" s="70" t="inlineStr"/>
      <c r="GV7" s="70" t="inlineStr"/>
      <c r="GW7" s="70" t="inlineStr"/>
      <c r="GX7" s="70" t="inlineStr"/>
      <c r="GY7" s="70" t="inlineStr"/>
      <c r="GZ7" s="70" t="inlineStr"/>
      <c r="HA7" s="70" t="inlineStr"/>
      <c r="HB7" s="70" t="inlineStr"/>
      <c r="HC7" s="70" t="inlineStr"/>
      <c r="HD7" s="70" t="inlineStr"/>
      <c r="HE7" s="70" t="inlineStr"/>
      <c r="HF7" s="70" t="inlineStr"/>
      <c r="HG7" s="70" t="inlineStr"/>
      <c r="HH7" s="70" t="inlineStr"/>
      <c r="HI7" s="70" t="inlineStr"/>
      <c r="HJ7" s="70" t="inlineStr"/>
      <c r="HK7" s="70" t="inlineStr"/>
      <c r="HL7" s="70" t="inlineStr"/>
      <c r="HM7" s="70" t="inlineStr"/>
      <c r="HN7" s="70" t="inlineStr"/>
      <c r="HO7" s="70" t="inlineStr"/>
      <c r="HP7" s="70" t="inlineStr"/>
      <c r="HQ7" s="70" t="inlineStr"/>
      <c r="HR7" s="70" t="inlineStr"/>
      <c r="HS7" s="70" t="inlineStr"/>
      <c r="HT7" s="70" t="inlineStr"/>
      <c r="HU7" s="70" t="inlineStr"/>
      <c r="HV7" s="70" t="inlineStr"/>
      <c r="HW7" s="70" t="inlineStr"/>
      <c r="HX7" s="70" t="inlineStr"/>
      <c r="HY7" s="70" t="inlineStr"/>
      <c r="HZ7" s="70" t="inlineStr"/>
      <c r="IA7" s="70" t="inlineStr"/>
      <c r="IB7" s="70" t="inlineStr"/>
      <c r="IC7" s="70" t="inlineStr"/>
      <c r="ID7" s="70" t="inlineStr"/>
      <c r="IE7" s="70" t="inlineStr"/>
      <c r="IF7" s="70" t="inlineStr"/>
      <c r="IG7" s="70" t="inlineStr"/>
      <c r="IH7" s="70" t="inlineStr"/>
      <c r="II7" s="70" t="inlineStr"/>
      <c r="IJ7" s="70" t="inlineStr"/>
      <c r="IK7" s="70" t="inlineStr"/>
      <c r="IL7" s="70" t="inlineStr"/>
      <c r="IM7" s="70" t="inlineStr"/>
      <c r="IN7" s="70" t="inlineStr"/>
      <c r="IO7" s="70" t="inlineStr"/>
      <c r="IP7" s="70" t="inlineStr"/>
      <c r="IQ7" s="70" t="inlineStr"/>
      <c r="IR7" s="70" t="inlineStr"/>
      <c r="IS7" s="70" t="inlineStr"/>
      <c r="IT7" s="70" t="inlineStr"/>
      <c r="IU7" s="70" t="inlineStr"/>
      <c r="IV7" s="70" t="inlineStr"/>
      <c r="IW7" s="70" t="inlineStr"/>
      <c r="IX7" s="70" t="inlineStr"/>
      <c r="IY7" s="70" t="inlineStr"/>
      <c r="IZ7" s="70" t="inlineStr"/>
      <c r="JA7" s="70" t="inlineStr"/>
      <c r="JB7" s="70" t="inlineStr"/>
      <c r="JC7" s="70" t="inlineStr"/>
      <c r="JD7" s="70" t="inlineStr"/>
      <c r="JE7" s="70" t="inlineStr"/>
      <c r="JF7" s="70" t="inlineStr"/>
      <c r="JG7" s="70" t="inlineStr"/>
      <c r="JH7" s="70" t="inlineStr"/>
      <c r="JI7" s="70" t="inlineStr"/>
      <c r="JJ7" s="70" t="inlineStr"/>
      <c r="JK7" s="70" t="inlineStr"/>
      <c r="JL7" s="70" t="inlineStr"/>
      <c r="JM7" s="70" t="inlineStr"/>
      <c r="JN7" s="70" t="inlineStr"/>
      <c r="JO7" s="70" t="inlineStr"/>
      <c r="JP7" s="70" t="inlineStr"/>
      <c r="JQ7" s="70" t="inlineStr"/>
      <c r="JR7" s="70" t="inlineStr"/>
      <c r="JS7" s="70" t="inlineStr"/>
      <c r="JT7" s="70" t="inlineStr"/>
      <c r="JU7" s="70" t="inlineStr"/>
      <c r="JV7" s="70" t="inlineStr"/>
      <c r="JW7" s="70" t="inlineStr"/>
      <c r="JX7" s="70" t="inlineStr"/>
      <c r="JY7" s="70" t="inlineStr"/>
      <c r="JZ7" s="70" t="inlineStr"/>
      <c r="KA7" s="70" t="inlineStr"/>
      <c r="KB7" s="70" t="inlineStr"/>
      <c r="KC7" s="70" t="inlineStr"/>
      <c r="KD7" s="70" t="inlineStr"/>
      <c r="KE7" s="70" t="inlineStr"/>
      <c r="KF7" s="70" t="inlineStr"/>
      <c r="KG7" s="70" t="inlineStr"/>
      <c r="KH7" s="70" t="inlineStr"/>
      <c r="KI7" s="70" t="inlineStr"/>
      <c r="KJ7" s="70" t="inlineStr"/>
      <c r="KK7" s="70" t="inlineStr"/>
      <c r="KL7" s="70" t="inlineStr"/>
      <c r="KM7" s="70" t="inlineStr"/>
      <c r="KN7" s="70" t="inlineStr"/>
      <c r="KO7" s="70" t="inlineStr"/>
      <c r="KP7" s="70" t="inlineStr"/>
      <c r="KQ7" s="70" t="inlineStr"/>
      <c r="KR7" s="70" t="inlineStr"/>
      <c r="KS7" s="70" t="inlineStr"/>
      <c r="KT7" s="70" t="inlineStr"/>
      <c r="KU7" s="70" t="inlineStr"/>
      <c r="KV7" s="70" t="inlineStr"/>
      <c r="KW7" s="70" t="inlineStr"/>
      <c r="KX7" s="70" t="inlineStr"/>
      <c r="KY7" s="70" t="inlineStr"/>
      <c r="KZ7" s="70" t="inlineStr"/>
      <c r="LA7" s="70" t="inlineStr"/>
      <c r="LB7" s="70" t="inlineStr"/>
      <c r="LC7" s="70" t="inlineStr"/>
      <c r="LD7" s="70" t="inlineStr"/>
      <c r="LE7" s="70" t="inlineStr"/>
      <c r="LF7" s="70" t="inlineStr"/>
      <c r="LG7" s="70" t="inlineStr"/>
      <c r="LH7" s="70" t="inlineStr"/>
      <c r="LI7" s="70" t="inlineStr"/>
      <c r="LJ7" s="70" t="inlineStr"/>
      <c r="LK7" s="70" t="inlineStr"/>
      <c r="LL7" s="70" t="inlineStr"/>
      <c r="LM7" s="70" t="inlineStr"/>
      <c r="LN7" s="70" t="inlineStr"/>
      <c r="LO7" s="70" t="inlineStr"/>
      <c r="LP7" s="70" t="inlineStr"/>
      <c r="LQ7" s="70" t="inlineStr"/>
      <c r="LR7" s="70" t="inlineStr"/>
      <c r="LS7" s="70" t="inlineStr"/>
      <c r="LT7" s="70" t="inlineStr"/>
      <c r="LU7" s="70" t="inlineStr"/>
      <c r="LV7" s="70" t="inlineStr"/>
      <c r="LW7" s="70" t="inlineStr"/>
      <c r="LX7" s="70" t="inlineStr"/>
      <c r="LY7" s="70" t="inlineStr"/>
      <c r="LZ7" s="70" t="inlineStr"/>
      <c r="MA7" s="70" t="inlineStr"/>
      <c r="MB7" s="70" t="inlineStr"/>
      <c r="MC7" s="70" t="inlineStr"/>
      <c r="MD7" s="70" t="inlineStr"/>
      <c r="ME7" s="70" t="inlineStr"/>
      <c r="MF7" s="70" t="inlineStr"/>
      <c r="MG7" s="70" t="inlineStr"/>
      <c r="MH7" s="70" t="inlineStr"/>
      <c r="MI7" s="70" t="inlineStr"/>
      <c r="MJ7" s="70" t="inlineStr"/>
      <c r="MK7" s="70" t="inlineStr"/>
      <c r="ML7" s="70" t="inlineStr"/>
      <c r="MM7" s="70" t="inlineStr"/>
      <c r="MN7" s="70" t="inlineStr"/>
      <c r="MO7" s="70" t="inlineStr"/>
      <c r="MP7" s="70" t="inlineStr"/>
      <c r="MQ7" s="70" t="inlineStr"/>
      <c r="MR7" s="70" t="inlineStr"/>
      <c r="MS7" s="70" t="inlineStr"/>
      <c r="MT7" s="70" t="inlineStr"/>
      <c r="MU7" s="70" t="inlineStr"/>
      <c r="MV7" s="70" t="inlineStr"/>
      <c r="MW7" s="70" t="inlineStr"/>
      <c r="MX7" s="70" t="inlineStr"/>
      <c r="MY7" s="70" t="inlineStr"/>
      <c r="MZ7" s="70" t="inlineStr"/>
      <c r="NA7" s="70" t="inlineStr"/>
      <c r="NB7" s="70" t="inlineStr"/>
      <c r="NC7" s="70" t="inlineStr"/>
      <c r="ND7" s="70" t="inlineStr"/>
      <c r="NE7" s="70" t="inlineStr"/>
      <c r="NF7" s="70" t="inlineStr"/>
      <c r="NG7" s="70" t="inlineStr"/>
      <c r="NH7" s="70" t="inlineStr"/>
      <c r="NI7" s="70" t="inlineStr"/>
      <c r="NJ7" s="70" t="inlineStr"/>
      <c r="NK7" s="70" t="inlineStr"/>
      <c r="NL7" s="70" t="inlineStr"/>
      <c r="NM7" s="70" t="inlineStr"/>
      <c r="NN7" s="70" t="inlineStr"/>
      <c r="NO7" s="70" t="inlineStr"/>
      <c r="NP7" s="70" t="inlineStr"/>
      <c r="NQ7" s="70" t="inlineStr"/>
      <c r="NR7" s="70" t="inlineStr"/>
      <c r="NS7" s="70" t="inlineStr"/>
      <c r="NT7" s="70" t="inlineStr"/>
      <c r="NU7" s="70" t="inlineStr"/>
      <c r="NV7" s="70" t="inlineStr"/>
      <c r="NW7" s="70" t="inlineStr"/>
      <c r="NX7" s="70" t="inlineStr"/>
      <c r="NY7" s="70" t="inlineStr"/>
      <c r="NZ7" s="70" t="inlineStr"/>
      <c r="OA7" s="70" t="inlineStr"/>
      <c r="OB7" s="70" t="inlineStr"/>
      <c r="OC7" s="70" t="inlineStr"/>
      <c r="OD7" s="70" t="inlineStr"/>
      <c r="OE7" s="70" t="inlineStr"/>
      <c r="OF7" s="70" t="inlineStr"/>
      <c r="OG7" s="70" t="inlineStr"/>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6"/>
  <sheetViews>
    <sheetView showGridLines="0" workbookViewId="0">
      <selection activeCell="A1" sqref="A1"/>
    </sheetView>
  </sheetViews>
  <sheetFormatPr baseColWidth="8" defaultRowHeight="15"/>
  <cols>
    <col width="1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65" t="inlineStr">
        <is>
          <t>ALL PHASES  -  program roll-up (latest record per Phase, read-only)</t>
        </is>
      </c>
    </row>
    <row r="3">
      <c r="A3" s="71" t="inlineStr">
        <is>
          <t>Phase</t>
        </is>
      </c>
      <c r="B3" s="71" t="inlineStr">
        <is>
          <t>Site</t>
        </is>
      </c>
      <c r="C3" s="71" t="inlineStr">
        <is>
          <t>Use</t>
        </is>
      </c>
      <c r="D3" s="71" t="inlineStr">
        <is>
          <t>Units</t>
        </is>
      </c>
      <c r="E3" s="71" t="inlineStr">
        <is>
          <t>NSF</t>
        </is>
      </c>
      <c r="F3" s="71" t="inlineStr">
        <is>
          <t>EGI</t>
        </is>
      </c>
      <c r="G3" s="71" t="inlineStr">
        <is>
          <t>NOI</t>
        </is>
      </c>
      <c r="H3" s="71" t="inlineStr">
        <is>
          <t>OpEx Ratio</t>
        </is>
      </c>
      <c r="I3" s="71" t="inlineStr">
        <is>
          <t>Total Dev Cost</t>
        </is>
      </c>
      <c r="J3" s="71" t="inlineStr">
        <is>
          <t>Cost/Unit</t>
        </is>
      </c>
      <c r="K3" s="71" t="inlineStr">
        <is>
          <t>Cost/GSF</t>
        </is>
      </c>
      <c r="L3" s="71" t="inlineStr">
        <is>
          <t>NOI/Unit</t>
        </is>
      </c>
    </row>
    <row r="4">
      <c r="A4" s="72">
        <f>IF(Lists!$A$2="","",Lists!$A$2)</f>
        <v/>
      </c>
      <c r="B4" s="72">
        <f>IFERROR(IF(Lists!$A$2="","",INDEX(Database!$H:$H,MATCH(MAXIFS(Database!$A:$A,Database!$B:$B,Lists!$A$2),Database!$A:$A,0))),"")</f>
        <v/>
      </c>
      <c r="C4" s="72">
        <f>IFERROR(IF(Lists!$A$2="","",IF(INDEX(Database!$J:$J,MATCH(MAXIFS(Database!$A:$A,Database!$B:$B,Lists!$A$2),Database!$A:$A,0))="Yes","Mixed-Use","Residential")),"")</f>
        <v/>
      </c>
      <c r="D4" s="73">
        <f>IFERROR(IF(Lists!$A$2="","",N(INDEX(Database!$AA:$AA,MATCH(MAXIFS(Database!$A:$A,Database!$B:$B,Lists!$A$2),Database!$A:$A,0)))+N(INDEX(Database!$AF:$AF,MATCH(MAXIFS(Database!$A:$A,Database!$B:$B,Lists!$A$2),Database!$A:$A,0)))+N(INDEX(Database!$AK:$AK,MATCH(MAXIFS(Database!$A:$A,Database!$B:$B,Lists!$A$2),Database!$A:$A,0)))+N(INDEX(Database!$AP:$AP,MATCH(MAXIFS(Database!$A:$A,Database!$B:$B,Lists!$A$2),Database!$A:$A,0)))+N(INDEX(Database!$AU:$AU,MATCH(MAXIFS(Database!$A:$A,Database!$B:$B,Lists!$A$2),Database!$A:$A,0)))+N(INDEX(Database!$AZ:$AZ,MATCH(MAXIFS(Database!$A:$A,Database!$B:$B,Lists!$A$2),Database!$A:$A,0)))+N(INDEX(Database!$BE:$BE,MATCH(MAXIFS(Database!$A:$A,Database!$B:$B,Lists!$A$2),Database!$A:$A,0)))+N(INDEX(Database!$BJ:$BJ,MATCH(MAXIFS(Database!$A:$A,Database!$B:$B,Lists!$A$2),Database!$A:$A,0)))+N(INDEX(Database!$BO:$BO,MATCH(MAXIFS(Database!$A:$A,Database!$B:$B,Lists!$A$2),Database!$A:$A,0)))+N(INDEX(Database!$BT:$BT,MATCH(MAXIFS(Database!$A:$A,Database!$B:$B,Lists!$A$2),Database!$A:$A,0)))+N(INDEX(Database!$BY:$BY,MATCH(MAXIFS(Database!$A:$A,Database!$B:$B,Lists!$A$2),Database!$A:$A,0)))+N(INDEX(Database!$CD:$CD,MATCH(MAXIFS(Database!$A:$A,Database!$B:$B,Lists!$A$2),Database!$A:$A,0)))+N(INDEX(Database!$CI:$CI,MATCH(MAXIFS(Database!$A:$A,Database!$B:$B,Lists!$A$2),Database!$A:$A,0)))+N(INDEX(Database!$CN:$CN,MATCH(MAXIFS(Database!$A:$A,Database!$B:$B,Lists!$A$2),Database!$A:$A,0)))+N(INDEX(Database!$CS:$CS,MATCH(MAXIFS(Database!$A:$A,Database!$B:$B,Lists!$A$2),Database!$A:$A,0)))),"")</f>
        <v/>
      </c>
      <c r="E4" s="73">
        <f>IFERROR(IF(Lists!$A$2="","",INDEX(Database!$M:$M,MATCH(MAXIFS(Database!$A:$A,Database!$B:$B,Lists!$A$2),Database!$A:$A,0))),"")</f>
        <v/>
      </c>
      <c r="F4" s="74">
        <f>IF(Lists!$A$2="","","-")</f>
        <v/>
      </c>
      <c r="G4" s="74">
        <f>IF(Lists!$A$2="","","-")</f>
        <v/>
      </c>
      <c r="H4" s="74">
        <f>IF(Lists!$A$2="","","-")</f>
        <v/>
      </c>
      <c r="I4" s="74">
        <f>IF(Lists!$A$2="","","-")</f>
        <v/>
      </c>
      <c r="J4" s="74">
        <f>IF(Lists!$A$2="","","-")</f>
        <v/>
      </c>
      <c r="K4" s="74">
        <f>IF(Lists!$A$2="","","-")</f>
        <v/>
      </c>
      <c r="L4" s="74">
        <f>IF(Lists!$A$2="","","-")</f>
        <v/>
      </c>
    </row>
    <row r="5">
      <c r="A5" s="72">
        <f>IF(Lists!$A$3="","",Lists!$A$3)</f>
        <v/>
      </c>
      <c r="B5" s="72">
        <f>IFERROR(IF(Lists!$A$3="","",INDEX(Database!$H:$H,MATCH(MAXIFS(Database!$A:$A,Database!$B:$B,Lists!$A$3),Database!$A:$A,0))),"")</f>
        <v/>
      </c>
      <c r="C5" s="72">
        <f>IFERROR(IF(Lists!$A$3="","",IF(INDEX(Database!$J:$J,MATCH(MAXIFS(Database!$A:$A,Database!$B:$B,Lists!$A$3),Database!$A:$A,0))="Yes","Mixed-Use","Residential")),"")</f>
        <v/>
      </c>
      <c r="D5" s="73">
        <f>IFERROR(IF(Lists!$A$3="","",N(INDEX(Database!$AA:$AA,MATCH(MAXIFS(Database!$A:$A,Database!$B:$B,Lists!$A$3),Database!$A:$A,0)))+N(INDEX(Database!$AF:$AF,MATCH(MAXIFS(Database!$A:$A,Database!$B:$B,Lists!$A$3),Database!$A:$A,0)))+N(INDEX(Database!$AK:$AK,MATCH(MAXIFS(Database!$A:$A,Database!$B:$B,Lists!$A$3),Database!$A:$A,0)))+N(INDEX(Database!$AP:$AP,MATCH(MAXIFS(Database!$A:$A,Database!$B:$B,Lists!$A$3),Database!$A:$A,0)))+N(INDEX(Database!$AU:$AU,MATCH(MAXIFS(Database!$A:$A,Database!$B:$B,Lists!$A$3),Database!$A:$A,0)))+N(INDEX(Database!$AZ:$AZ,MATCH(MAXIFS(Database!$A:$A,Database!$B:$B,Lists!$A$3),Database!$A:$A,0)))+N(INDEX(Database!$BE:$BE,MATCH(MAXIFS(Database!$A:$A,Database!$B:$B,Lists!$A$3),Database!$A:$A,0)))+N(INDEX(Database!$BJ:$BJ,MATCH(MAXIFS(Database!$A:$A,Database!$B:$B,Lists!$A$3),Database!$A:$A,0)))+N(INDEX(Database!$BO:$BO,MATCH(MAXIFS(Database!$A:$A,Database!$B:$B,Lists!$A$3),Database!$A:$A,0)))+N(INDEX(Database!$BT:$BT,MATCH(MAXIFS(Database!$A:$A,Database!$B:$B,Lists!$A$3),Database!$A:$A,0)))+N(INDEX(Database!$BY:$BY,MATCH(MAXIFS(Database!$A:$A,Database!$B:$B,Lists!$A$3),Database!$A:$A,0)))+N(INDEX(Database!$CD:$CD,MATCH(MAXIFS(Database!$A:$A,Database!$B:$B,Lists!$A$3),Database!$A:$A,0)))+N(INDEX(Database!$CI:$CI,MATCH(MAXIFS(Database!$A:$A,Database!$B:$B,Lists!$A$3),Database!$A:$A,0)))+N(INDEX(Database!$CN:$CN,MATCH(MAXIFS(Database!$A:$A,Database!$B:$B,Lists!$A$3),Database!$A:$A,0)))+N(INDEX(Database!$CS:$CS,MATCH(MAXIFS(Database!$A:$A,Database!$B:$B,Lists!$A$3),Database!$A:$A,0)))),"")</f>
        <v/>
      </c>
      <c r="E5" s="73">
        <f>IFERROR(IF(Lists!$A$3="","",INDEX(Database!$M:$M,MATCH(MAXIFS(Database!$A:$A,Database!$B:$B,Lists!$A$3),Database!$A:$A,0))),"")</f>
        <v/>
      </c>
      <c r="F5" s="74">
        <f>IF(Lists!$A$3="","","-")</f>
        <v/>
      </c>
      <c r="G5" s="74">
        <f>IF(Lists!$A$3="","","-")</f>
        <v/>
      </c>
      <c r="H5" s="74">
        <f>IF(Lists!$A$3="","","-")</f>
        <v/>
      </c>
      <c r="I5" s="74">
        <f>IF(Lists!$A$3="","","-")</f>
        <v/>
      </c>
      <c r="J5" s="74">
        <f>IF(Lists!$A$3="","","-")</f>
        <v/>
      </c>
      <c r="K5" s="74">
        <f>IF(Lists!$A$3="","","-")</f>
        <v/>
      </c>
      <c r="L5" s="74">
        <f>IF(Lists!$A$3="","","-")</f>
        <v/>
      </c>
    </row>
    <row r="6">
      <c r="A6" s="72">
        <f>IF(Lists!$A$4="","",Lists!$A$4)</f>
        <v/>
      </c>
      <c r="B6" s="72">
        <f>IFERROR(IF(Lists!$A$4="","",INDEX(Database!$H:$H,MATCH(MAXIFS(Database!$A:$A,Database!$B:$B,Lists!$A$4),Database!$A:$A,0))),"")</f>
        <v/>
      </c>
      <c r="C6" s="72">
        <f>IFERROR(IF(Lists!$A$4="","",IF(INDEX(Database!$J:$J,MATCH(MAXIFS(Database!$A:$A,Database!$B:$B,Lists!$A$4),Database!$A:$A,0))="Yes","Mixed-Use","Residential")),"")</f>
        <v/>
      </c>
      <c r="D6" s="73">
        <f>IFERROR(IF(Lists!$A$4="","",N(INDEX(Database!$AA:$AA,MATCH(MAXIFS(Database!$A:$A,Database!$B:$B,Lists!$A$4),Database!$A:$A,0)))+N(INDEX(Database!$AF:$AF,MATCH(MAXIFS(Database!$A:$A,Database!$B:$B,Lists!$A$4),Database!$A:$A,0)))+N(INDEX(Database!$AK:$AK,MATCH(MAXIFS(Database!$A:$A,Database!$B:$B,Lists!$A$4),Database!$A:$A,0)))+N(INDEX(Database!$AP:$AP,MATCH(MAXIFS(Database!$A:$A,Database!$B:$B,Lists!$A$4),Database!$A:$A,0)))+N(INDEX(Database!$AU:$AU,MATCH(MAXIFS(Database!$A:$A,Database!$B:$B,Lists!$A$4),Database!$A:$A,0)))+N(INDEX(Database!$AZ:$AZ,MATCH(MAXIFS(Database!$A:$A,Database!$B:$B,Lists!$A$4),Database!$A:$A,0)))+N(INDEX(Database!$BE:$BE,MATCH(MAXIFS(Database!$A:$A,Database!$B:$B,Lists!$A$4),Database!$A:$A,0)))+N(INDEX(Database!$BJ:$BJ,MATCH(MAXIFS(Database!$A:$A,Database!$B:$B,Lists!$A$4),Database!$A:$A,0)))+N(INDEX(Database!$BO:$BO,MATCH(MAXIFS(Database!$A:$A,Database!$B:$B,Lists!$A$4),Database!$A:$A,0)))+N(INDEX(Database!$BT:$BT,MATCH(MAXIFS(Database!$A:$A,Database!$B:$B,Lists!$A$4),Database!$A:$A,0)))+N(INDEX(Database!$BY:$BY,MATCH(MAXIFS(Database!$A:$A,Database!$B:$B,Lists!$A$4),Database!$A:$A,0)))+N(INDEX(Database!$CD:$CD,MATCH(MAXIFS(Database!$A:$A,Database!$B:$B,Lists!$A$4),Database!$A:$A,0)))+N(INDEX(Database!$CI:$CI,MATCH(MAXIFS(Database!$A:$A,Database!$B:$B,Lists!$A$4),Database!$A:$A,0)))+N(INDEX(Database!$CN:$CN,MATCH(MAXIFS(Database!$A:$A,Database!$B:$B,Lists!$A$4),Database!$A:$A,0)))+N(INDEX(Database!$CS:$CS,MATCH(MAXIFS(Database!$A:$A,Database!$B:$B,Lists!$A$4),Database!$A:$A,0)))),"")</f>
        <v/>
      </c>
      <c r="E6" s="73">
        <f>IFERROR(IF(Lists!$A$4="","",INDEX(Database!$M:$M,MATCH(MAXIFS(Database!$A:$A,Database!$B:$B,Lists!$A$4),Database!$A:$A,0))),"")</f>
        <v/>
      </c>
      <c r="F6" s="74">
        <f>IF(Lists!$A$4="","","-")</f>
        <v/>
      </c>
      <c r="G6" s="74">
        <f>IF(Lists!$A$4="","","-")</f>
        <v/>
      </c>
      <c r="H6" s="74">
        <f>IF(Lists!$A$4="","","-")</f>
        <v/>
      </c>
      <c r="I6" s="74">
        <f>IF(Lists!$A$4="","","-")</f>
        <v/>
      </c>
      <c r="J6" s="74">
        <f>IF(Lists!$A$4="","","-")</f>
        <v/>
      </c>
      <c r="K6" s="74">
        <f>IF(Lists!$A$4="","","-")</f>
        <v/>
      </c>
      <c r="L6" s="74">
        <f>IF(Lists!$A$4="","","-")</f>
        <v/>
      </c>
    </row>
    <row r="7">
      <c r="A7" s="72">
        <f>IF(Lists!$A$5="","",Lists!$A$5)</f>
        <v/>
      </c>
      <c r="B7" s="72">
        <f>IFERROR(IF(Lists!$A$5="","",INDEX(Database!$H:$H,MATCH(MAXIFS(Database!$A:$A,Database!$B:$B,Lists!$A$5),Database!$A:$A,0))),"")</f>
        <v/>
      </c>
      <c r="C7" s="72">
        <f>IFERROR(IF(Lists!$A$5="","",IF(INDEX(Database!$J:$J,MATCH(MAXIFS(Database!$A:$A,Database!$B:$B,Lists!$A$5),Database!$A:$A,0))="Yes","Mixed-Use","Residential")),"")</f>
        <v/>
      </c>
      <c r="D7" s="73">
        <f>IFERROR(IF(Lists!$A$5="","",N(INDEX(Database!$AA:$AA,MATCH(MAXIFS(Database!$A:$A,Database!$B:$B,Lists!$A$5),Database!$A:$A,0)))+N(INDEX(Database!$AF:$AF,MATCH(MAXIFS(Database!$A:$A,Database!$B:$B,Lists!$A$5),Database!$A:$A,0)))+N(INDEX(Database!$AK:$AK,MATCH(MAXIFS(Database!$A:$A,Database!$B:$B,Lists!$A$5),Database!$A:$A,0)))+N(INDEX(Database!$AP:$AP,MATCH(MAXIFS(Database!$A:$A,Database!$B:$B,Lists!$A$5),Database!$A:$A,0)))+N(INDEX(Database!$AU:$AU,MATCH(MAXIFS(Database!$A:$A,Database!$B:$B,Lists!$A$5),Database!$A:$A,0)))+N(INDEX(Database!$AZ:$AZ,MATCH(MAXIFS(Database!$A:$A,Database!$B:$B,Lists!$A$5),Database!$A:$A,0)))+N(INDEX(Database!$BE:$BE,MATCH(MAXIFS(Database!$A:$A,Database!$B:$B,Lists!$A$5),Database!$A:$A,0)))+N(INDEX(Database!$BJ:$BJ,MATCH(MAXIFS(Database!$A:$A,Database!$B:$B,Lists!$A$5),Database!$A:$A,0)))+N(INDEX(Database!$BO:$BO,MATCH(MAXIFS(Database!$A:$A,Database!$B:$B,Lists!$A$5),Database!$A:$A,0)))+N(INDEX(Database!$BT:$BT,MATCH(MAXIFS(Database!$A:$A,Database!$B:$B,Lists!$A$5),Database!$A:$A,0)))+N(INDEX(Database!$BY:$BY,MATCH(MAXIFS(Database!$A:$A,Database!$B:$B,Lists!$A$5),Database!$A:$A,0)))+N(INDEX(Database!$CD:$CD,MATCH(MAXIFS(Database!$A:$A,Database!$B:$B,Lists!$A$5),Database!$A:$A,0)))+N(INDEX(Database!$CI:$CI,MATCH(MAXIFS(Database!$A:$A,Database!$B:$B,Lists!$A$5),Database!$A:$A,0)))+N(INDEX(Database!$CN:$CN,MATCH(MAXIFS(Database!$A:$A,Database!$B:$B,Lists!$A$5),Database!$A:$A,0)))+N(INDEX(Database!$CS:$CS,MATCH(MAXIFS(Database!$A:$A,Database!$B:$B,Lists!$A$5),Database!$A:$A,0)))),"")</f>
        <v/>
      </c>
      <c r="E7" s="73">
        <f>IFERROR(IF(Lists!$A$5="","",INDEX(Database!$M:$M,MATCH(MAXIFS(Database!$A:$A,Database!$B:$B,Lists!$A$5),Database!$A:$A,0))),"")</f>
        <v/>
      </c>
      <c r="F7" s="74">
        <f>IF(Lists!$A$5="","","-")</f>
        <v/>
      </c>
      <c r="G7" s="74">
        <f>IF(Lists!$A$5="","","-")</f>
        <v/>
      </c>
      <c r="H7" s="74">
        <f>IF(Lists!$A$5="","","-")</f>
        <v/>
      </c>
      <c r="I7" s="74">
        <f>IF(Lists!$A$5="","","-")</f>
        <v/>
      </c>
      <c r="J7" s="74">
        <f>IF(Lists!$A$5="","","-")</f>
        <v/>
      </c>
      <c r="K7" s="74">
        <f>IF(Lists!$A$5="","","-")</f>
        <v/>
      </c>
      <c r="L7" s="74">
        <f>IF(Lists!$A$5="","","-")</f>
        <v/>
      </c>
    </row>
    <row r="8">
      <c r="A8" s="72">
        <f>IF(Lists!$A$6="","",Lists!$A$6)</f>
        <v/>
      </c>
      <c r="B8" s="72">
        <f>IFERROR(IF(Lists!$A$6="","",INDEX(Database!$H:$H,MATCH(MAXIFS(Database!$A:$A,Database!$B:$B,Lists!$A$6),Database!$A:$A,0))),"")</f>
        <v/>
      </c>
      <c r="C8" s="72">
        <f>IFERROR(IF(Lists!$A$6="","",IF(INDEX(Database!$J:$J,MATCH(MAXIFS(Database!$A:$A,Database!$B:$B,Lists!$A$6),Database!$A:$A,0))="Yes","Mixed-Use","Residential")),"")</f>
        <v/>
      </c>
      <c r="D8" s="73">
        <f>IFERROR(IF(Lists!$A$6="","",N(INDEX(Database!$AA:$AA,MATCH(MAXIFS(Database!$A:$A,Database!$B:$B,Lists!$A$6),Database!$A:$A,0)))+N(INDEX(Database!$AF:$AF,MATCH(MAXIFS(Database!$A:$A,Database!$B:$B,Lists!$A$6),Database!$A:$A,0)))+N(INDEX(Database!$AK:$AK,MATCH(MAXIFS(Database!$A:$A,Database!$B:$B,Lists!$A$6),Database!$A:$A,0)))+N(INDEX(Database!$AP:$AP,MATCH(MAXIFS(Database!$A:$A,Database!$B:$B,Lists!$A$6),Database!$A:$A,0)))+N(INDEX(Database!$AU:$AU,MATCH(MAXIFS(Database!$A:$A,Database!$B:$B,Lists!$A$6),Database!$A:$A,0)))+N(INDEX(Database!$AZ:$AZ,MATCH(MAXIFS(Database!$A:$A,Database!$B:$B,Lists!$A$6),Database!$A:$A,0)))+N(INDEX(Database!$BE:$BE,MATCH(MAXIFS(Database!$A:$A,Database!$B:$B,Lists!$A$6),Database!$A:$A,0)))+N(INDEX(Database!$BJ:$BJ,MATCH(MAXIFS(Database!$A:$A,Database!$B:$B,Lists!$A$6),Database!$A:$A,0)))+N(INDEX(Database!$BO:$BO,MATCH(MAXIFS(Database!$A:$A,Database!$B:$B,Lists!$A$6),Database!$A:$A,0)))+N(INDEX(Database!$BT:$BT,MATCH(MAXIFS(Database!$A:$A,Database!$B:$B,Lists!$A$6),Database!$A:$A,0)))+N(INDEX(Database!$BY:$BY,MATCH(MAXIFS(Database!$A:$A,Database!$B:$B,Lists!$A$6),Database!$A:$A,0)))+N(INDEX(Database!$CD:$CD,MATCH(MAXIFS(Database!$A:$A,Database!$B:$B,Lists!$A$6),Database!$A:$A,0)))+N(INDEX(Database!$CI:$CI,MATCH(MAXIFS(Database!$A:$A,Database!$B:$B,Lists!$A$6),Database!$A:$A,0)))+N(INDEX(Database!$CN:$CN,MATCH(MAXIFS(Database!$A:$A,Database!$B:$B,Lists!$A$6),Database!$A:$A,0)))+N(INDEX(Database!$CS:$CS,MATCH(MAXIFS(Database!$A:$A,Database!$B:$B,Lists!$A$6),Database!$A:$A,0)))),"")</f>
        <v/>
      </c>
      <c r="E8" s="73">
        <f>IFERROR(IF(Lists!$A$6="","",INDEX(Database!$M:$M,MATCH(MAXIFS(Database!$A:$A,Database!$B:$B,Lists!$A$6),Database!$A:$A,0))),"")</f>
        <v/>
      </c>
      <c r="F8" s="74">
        <f>IF(Lists!$A$6="","","-")</f>
        <v/>
      </c>
      <c r="G8" s="74">
        <f>IF(Lists!$A$6="","","-")</f>
        <v/>
      </c>
      <c r="H8" s="74">
        <f>IF(Lists!$A$6="","","-")</f>
        <v/>
      </c>
      <c r="I8" s="74">
        <f>IF(Lists!$A$6="","","-")</f>
        <v/>
      </c>
      <c r="J8" s="74">
        <f>IF(Lists!$A$6="","","-")</f>
        <v/>
      </c>
      <c r="K8" s="74">
        <f>IF(Lists!$A$6="","","-")</f>
        <v/>
      </c>
      <c r="L8" s="74">
        <f>IF(Lists!$A$6="","","-")</f>
        <v/>
      </c>
    </row>
    <row r="9">
      <c r="A9" s="72">
        <f>IF(Lists!$A$7="","",Lists!$A$7)</f>
        <v/>
      </c>
      <c r="B9" s="72">
        <f>IFERROR(IF(Lists!$A$7="","",INDEX(Database!$H:$H,MATCH(MAXIFS(Database!$A:$A,Database!$B:$B,Lists!$A$7),Database!$A:$A,0))),"")</f>
        <v/>
      </c>
      <c r="C9" s="72">
        <f>IFERROR(IF(Lists!$A$7="","",IF(INDEX(Database!$J:$J,MATCH(MAXIFS(Database!$A:$A,Database!$B:$B,Lists!$A$7),Database!$A:$A,0))="Yes","Mixed-Use","Residential")),"")</f>
        <v/>
      </c>
      <c r="D9" s="73">
        <f>IFERROR(IF(Lists!$A$7="","",N(INDEX(Database!$AA:$AA,MATCH(MAXIFS(Database!$A:$A,Database!$B:$B,Lists!$A$7),Database!$A:$A,0)))+N(INDEX(Database!$AF:$AF,MATCH(MAXIFS(Database!$A:$A,Database!$B:$B,Lists!$A$7),Database!$A:$A,0)))+N(INDEX(Database!$AK:$AK,MATCH(MAXIFS(Database!$A:$A,Database!$B:$B,Lists!$A$7),Database!$A:$A,0)))+N(INDEX(Database!$AP:$AP,MATCH(MAXIFS(Database!$A:$A,Database!$B:$B,Lists!$A$7),Database!$A:$A,0)))+N(INDEX(Database!$AU:$AU,MATCH(MAXIFS(Database!$A:$A,Database!$B:$B,Lists!$A$7),Database!$A:$A,0)))+N(INDEX(Database!$AZ:$AZ,MATCH(MAXIFS(Database!$A:$A,Database!$B:$B,Lists!$A$7),Database!$A:$A,0)))+N(INDEX(Database!$BE:$BE,MATCH(MAXIFS(Database!$A:$A,Database!$B:$B,Lists!$A$7),Database!$A:$A,0)))+N(INDEX(Database!$BJ:$BJ,MATCH(MAXIFS(Database!$A:$A,Database!$B:$B,Lists!$A$7),Database!$A:$A,0)))+N(INDEX(Database!$BO:$BO,MATCH(MAXIFS(Database!$A:$A,Database!$B:$B,Lists!$A$7),Database!$A:$A,0)))+N(INDEX(Database!$BT:$BT,MATCH(MAXIFS(Database!$A:$A,Database!$B:$B,Lists!$A$7),Database!$A:$A,0)))+N(INDEX(Database!$BY:$BY,MATCH(MAXIFS(Database!$A:$A,Database!$B:$B,Lists!$A$7),Database!$A:$A,0)))+N(INDEX(Database!$CD:$CD,MATCH(MAXIFS(Database!$A:$A,Database!$B:$B,Lists!$A$7),Database!$A:$A,0)))+N(INDEX(Database!$CI:$CI,MATCH(MAXIFS(Database!$A:$A,Database!$B:$B,Lists!$A$7),Database!$A:$A,0)))+N(INDEX(Database!$CN:$CN,MATCH(MAXIFS(Database!$A:$A,Database!$B:$B,Lists!$A$7),Database!$A:$A,0)))+N(INDEX(Database!$CS:$CS,MATCH(MAXIFS(Database!$A:$A,Database!$B:$B,Lists!$A$7),Database!$A:$A,0)))),"")</f>
        <v/>
      </c>
      <c r="E9" s="73">
        <f>IFERROR(IF(Lists!$A$7="","",INDEX(Database!$M:$M,MATCH(MAXIFS(Database!$A:$A,Database!$B:$B,Lists!$A$7),Database!$A:$A,0))),"")</f>
        <v/>
      </c>
      <c r="F9" s="74">
        <f>IF(Lists!$A$7="","","-")</f>
        <v/>
      </c>
      <c r="G9" s="74">
        <f>IF(Lists!$A$7="","","-")</f>
        <v/>
      </c>
      <c r="H9" s="74">
        <f>IF(Lists!$A$7="","","-")</f>
        <v/>
      </c>
      <c r="I9" s="74">
        <f>IF(Lists!$A$7="","","-")</f>
        <v/>
      </c>
      <c r="J9" s="74">
        <f>IF(Lists!$A$7="","","-")</f>
        <v/>
      </c>
      <c r="K9" s="74">
        <f>IF(Lists!$A$7="","","-")</f>
        <v/>
      </c>
      <c r="L9" s="74">
        <f>IF(Lists!$A$7="","","-")</f>
        <v/>
      </c>
    </row>
    <row r="10">
      <c r="A10" s="72">
        <f>IF(Lists!$A$8="","",Lists!$A$8)</f>
        <v/>
      </c>
      <c r="B10" s="72">
        <f>IFERROR(IF(Lists!$A$8="","",INDEX(Database!$H:$H,MATCH(MAXIFS(Database!$A:$A,Database!$B:$B,Lists!$A$8),Database!$A:$A,0))),"")</f>
        <v/>
      </c>
      <c r="C10" s="72">
        <f>IFERROR(IF(Lists!$A$8="","",IF(INDEX(Database!$J:$J,MATCH(MAXIFS(Database!$A:$A,Database!$B:$B,Lists!$A$8),Database!$A:$A,0))="Yes","Mixed-Use","Residential")),"")</f>
        <v/>
      </c>
      <c r="D10" s="73">
        <f>IFERROR(IF(Lists!$A$8="","",N(INDEX(Database!$AA:$AA,MATCH(MAXIFS(Database!$A:$A,Database!$B:$B,Lists!$A$8),Database!$A:$A,0)))+N(INDEX(Database!$AF:$AF,MATCH(MAXIFS(Database!$A:$A,Database!$B:$B,Lists!$A$8),Database!$A:$A,0)))+N(INDEX(Database!$AK:$AK,MATCH(MAXIFS(Database!$A:$A,Database!$B:$B,Lists!$A$8),Database!$A:$A,0)))+N(INDEX(Database!$AP:$AP,MATCH(MAXIFS(Database!$A:$A,Database!$B:$B,Lists!$A$8),Database!$A:$A,0)))+N(INDEX(Database!$AU:$AU,MATCH(MAXIFS(Database!$A:$A,Database!$B:$B,Lists!$A$8),Database!$A:$A,0)))+N(INDEX(Database!$AZ:$AZ,MATCH(MAXIFS(Database!$A:$A,Database!$B:$B,Lists!$A$8),Database!$A:$A,0)))+N(INDEX(Database!$BE:$BE,MATCH(MAXIFS(Database!$A:$A,Database!$B:$B,Lists!$A$8),Database!$A:$A,0)))+N(INDEX(Database!$BJ:$BJ,MATCH(MAXIFS(Database!$A:$A,Database!$B:$B,Lists!$A$8),Database!$A:$A,0)))+N(INDEX(Database!$BO:$BO,MATCH(MAXIFS(Database!$A:$A,Database!$B:$B,Lists!$A$8),Database!$A:$A,0)))+N(INDEX(Database!$BT:$BT,MATCH(MAXIFS(Database!$A:$A,Database!$B:$B,Lists!$A$8),Database!$A:$A,0)))+N(INDEX(Database!$BY:$BY,MATCH(MAXIFS(Database!$A:$A,Database!$B:$B,Lists!$A$8),Database!$A:$A,0)))+N(INDEX(Database!$CD:$CD,MATCH(MAXIFS(Database!$A:$A,Database!$B:$B,Lists!$A$8),Database!$A:$A,0)))+N(INDEX(Database!$CI:$CI,MATCH(MAXIFS(Database!$A:$A,Database!$B:$B,Lists!$A$8),Database!$A:$A,0)))+N(INDEX(Database!$CN:$CN,MATCH(MAXIFS(Database!$A:$A,Database!$B:$B,Lists!$A$8),Database!$A:$A,0)))+N(INDEX(Database!$CS:$CS,MATCH(MAXIFS(Database!$A:$A,Database!$B:$B,Lists!$A$8),Database!$A:$A,0)))),"")</f>
        <v/>
      </c>
      <c r="E10" s="73">
        <f>IFERROR(IF(Lists!$A$8="","",INDEX(Database!$M:$M,MATCH(MAXIFS(Database!$A:$A,Database!$B:$B,Lists!$A$8),Database!$A:$A,0))),"")</f>
        <v/>
      </c>
      <c r="F10" s="74">
        <f>IF(Lists!$A$8="","","-")</f>
        <v/>
      </c>
      <c r="G10" s="74">
        <f>IF(Lists!$A$8="","","-")</f>
        <v/>
      </c>
      <c r="H10" s="74">
        <f>IF(Lists!$A$8="","","-")</f>
        <v/>
      </c>
      <c r="I10" s="74">
        <f>IF(Lists!$A$8="","","-")</f>
        <v/>
      </c>
      <c r="J10" s="74">
        <f>IF(Lists!$A$8="","","-")</f>
        <v/>
      </c>
      <c r="K10" s="74">
        <f>IF(Lists!$A$8="","","-")</f>
        <v/>
      </c>
      <c r="L10" s="74">
        <f>IF(Lists!$A$8="","","-")</f>
        <v/>
      </c>
    </row>
    <row r="11">
      <c r="A11" s="72">
        <f>IF(Lists!$A$9="","",Lists!$A$9)</f>
        <v/>
      </c>
      <c r="B11" s="72">
        <f>IFERROR(IF(Lists!$A$9="","",INDEX(Database!$H:$H,MATCH(MAXIFS(Database!$A:$A,Database!$B:$B,Lists!$A$9),Database!$A:$A,0))),"")</f>
        <v/>
      </c>
      <c r="C11" s="72">
        <f>IFERROR(IF(Lists!$A$9="","",IF(INDEX(Database!$J:$J,MATCH(MAXIFS(Database!$A:$A,Database!$B:$B,Lists!$A$9),Database!$A:$A,0))="Yes","Mixed-Use","Residential")),"")</f>
        <v/>
      </c>
      <c r="D11" s="73">
        <f>IFERROR(IF(Lists!$A$9="","",N(INDEX(Database!$AA:$AA,MATCH(MAXIFS(Database!$A:$A,Database!$B:$B,Lists!$A$9),Database!$A:$A,0)))+N(INDEX(Database!$AF:$AF,MATCH(MAXIFS(Database!$A:$A,Database!$B:$B,Lists!$A$9),Database!$A:$A,0)))+N(INDEX(Database!$AK:$AK,MATCH(MAXIFS(Database!$A:$A,Database!$B:$B,Lists!$A$9),Database!$A:$A,0)))+N(INDEX(Database!$AP:$AP,MATCH(MAXIFS(Database!$A:$A,Database!$B:$B,Lists!$A$9),Database!$A:$A,0)))+N(INDEX(Database!$AU:$AU,MATCH(MAXIFS(Database!$A:$A,Database!$B:$B,Lists!$A$9),Database!$A:$A,0)))+N(INDEX(Database!$AZ:$AZ,MATCH(MAXIFS(Database!$A:$A,Database!$B:$B,Lists!$A$9),Database!$A:$A,0)))+N(INDEX(Database!$BE:$BE,MATCH(MAXIFS(Database!$A:$A,Database!$B:$B,Lists!$A$9),Database!$A:$A,0)))+N(INDEX(Database!$BJ:$BJ,MATCH(MAXIFS(Database!$A:$A,Database!$B:$B,Lists!$A$9),Database!$A:$A,0)))+N(INDEX(Database!$BO:$BO,MATCH(MAXIFS(Database!$A:$A,Database!$B:$B,Lists!$A$9),Database!$A:$A,0)))+N(INDEX(Database!$BT:$BT,MATCH(MAXIFS(Database!$A:$A,Database!$B:$B,Lists!$A$9),Database!$A:$A,0)))+N(INDEX(Database!$BY:$BY,MATCH(MAXIFS(Database!$A:$A,Database!$B:$B,Lists!$A$9),Database!$A:$A,0)))+N(INDEX(Database!$CD:$CD,MATCH(MAXIFS(Database!$A:$A,Database!$B:$B,Lists!$A$9),Database!$A:$A,0)))+N(INDEX(Database!$CI:$CI,MATCH(MAXIFS(Database!$A:$A,Database!$B:$B,Lists!$A$9),Database!$A:$A,0)))+N(INDEX(Database!$CN:$CN,MATCH(MAXIFS(Database!$A:$A,Database!$B:$B,Lists!$A$9),Database!$A:$A,0)))+N(INDEX(Database!$CS:$CS,MATCH(MAXIFS(Database!$A:$A,Database!$B:$B,Lists!$A$9),Database!$A:$A,0)))),"")</f>
        <v/>
      </c>
      <c r="E11" s="73">
        <f>IFERROR(IF(Lists!$A$9="","",INDEX(Database!$M:$M,MATCH(MAXIFS(Database!$A:$A,Database!$B:$B,Lists!$A$9),Database!$A:$A,0))),"")</f>
        <v/>
      </c>
      <c r="F11" s="74">
        <f>IF(Lists!$A$9="","","-")</f>
        <v/>
      </c>
      <c r="G11" s="74">
        <f>IF(Lists!$A$9="","","-")</f>
        <v/>
      </c>
      <c r="H11" s="74">
        <f>IF(Lists!$A$9="","","-")</f>
        <v/>
      </c>
      <c r="I11" s="74">
        <f>IF(Lists!$A$9="","","-")</f>
        <v/>
      </c>
      <c r="J11" s="74">
        <f>IF(Lists!$A$9="","","-")</f>
        <v/>
      </c>
      <c r="K11" s="74">
        <f>IF(Lists!$A$9="","","-")</f>
        <v/>
      </c>
      <c r="L11" s="74">
        <f>IF(Lists!$A$9="","","-")</f>
        <v/>
      </c>
    </row>
    <row r="12">
      <c r="A12" s="72">
        <f>IF(Lists!$A$10="","",Lists!$A$10)</f>
        <v/>
      </c>
      <c r="B12" s="72">
        <f>IFERROR(IF(Lists!$A$10="","",INDEX(Database!$H:$H,MATCH(MAXIFS(Database!$A:$A,Database!$B:$B,Lists!$A$10),Database!$A:$A,0))),"")</f>
        <v/>
      </c>
      <c r="C12" s="72">
        <f>IFERROR(IF(Lists!$A$10="","",IF(INDEX(Database!$J:$J,MATCH(MAXIFS(Database!$A:$A,Database!$B:$B,Lists!$A$10),Database!$A:$A,0))="Yes","Mixed-Use","Residential")),"")</f>
        <v/>
      </c>
      <c r="D12" s="73">
        <f>IFERROR(IF(Lists!$A$10="","",N(INDEX(Database!$AA:$AA,MATCH(MAXIFS(Database!$A:$A,Database!$B:$B,Lists!$A$10),Database!$A:$A,0)))+N(INDEX(Database!$AF:$AF,MATCH(MAXIFS(Database!$A:$A,Database!$B:$B,Lists!$A$10),Database!$A:$A,0)))+N(INDEX(Database!$AK:$AK,MATCH(MAXIFS(Database!$A:$A,Database!$B:$B,Lists!$A$10),Database!$A:$A,0)))+N(INDEX(Database!$AP:$AP,MATCH(MAXIFS(Database!$A:$A,Database!$B:$B,Lists!$A$10),Database!$A:$A,0)))+N(INDEX(Database!$AU:$AU,MATCH(MAXIFS(Database!$A:$A,Database!$B:$B,Lists!$A$10),Database!$A:$A,0)))+N(INDEX(Database!$AZ:$AZ,MATCH(MAXIFS(Database!$A:$A,Database!$B:$B,Lists!$A$10),Database!$A:$A,0)))+N(INDEX(Database!$BE:$BE,MATCH(MAXIFS(Database!$A:$A,Database!$B:$B,Lists!$A$10),Database!$A:$A,0)))+N(INDEX(Database!$BJ:$BJ,MATCH(MAXIFS(Database!$A:$A,Database!$B:$B,Lists!$A$10),Database!$A:$A,0)))+N(INDEX(Database!$BO:$BO,MATCH(MAXIFS(Database!$A:$A,Database!$B:$B,Lists!$A$10),Database!$A:$A,0)))+N(INDEX(Database!$BT:$BT,MATCH(MAXIFS(Database!$A:$A,Database!$B:$B,Lists!$A$10),Database!$A:$A,0)))+N(INDEX(Database!$BY:$BY,MATCH(MAXIFS(Database!$A:$A,Database!$B:$B,Lists!$A$10),Database!$A:$A,0)))+N(INDEX(Database!$CD:$CD,MATCH(MAXIFS(Database!$A:$A,Database!$B:$B,Lists!$A$10),Database!$A:$A,0)))+N(INDEX(Database!$CI:$CI,MATCH(MAXIFS(Database!$A:$A,Database!$B:$B,Lists!$A$10),Database!$A:$A,0)))+N(INDEX(Database!$CN:$CN,MATCH(MAXIFS(Database!$A:$A,Database!$B:$B,Lists!$A$10),Database!$A:$A,0)))+N(INDEX(Database!$CS:$CS,MATCH(MAXIFS(Database!$A:$A,Database!$B:$B,Lists!$A$10),Database!$A:$A,0)))),"")</f>
        <v/>
      </c>
      <c r="E12" s="73">
        <f>IFERROR(IF(Lists!$A$10="","",INDEX(Database!$M:$M,MATCH(MAXIFS(Database!$A:$A,Database!$B:$B,Lists!$A$10),Database!$A:$A,0))),"")</f>
        <v/>
      </c>
      <c r="F12" s="74">
        <f>IF(Lists!$A$10="","","-")</f>
        <v/>
      </c>
      <c r="G12" s="74">
        <f>IF(Lists!$A$10="","","-")</f>
        <v/>
      </c>
      <c r="H12" s="74">
        <f>IF(Lists!$A$10="","","-")</f>
        <v/>
      </c>
      <c r="I12" s="74">
        <f>IF(Lists!$A$10="","","-")</f>
        <v/>
      </c>
      <c r="J12" s="74">
        <f>IF(Lists!$A$10="","","-")</f>
        <v/>
      </c>
      <c r="K12" s="74">
        <f>IF(Lists!$A$10="","","-")</f>
        <v/>
      </c>
      <c r="L12" s="74">
        <f>IF(Lists!$A$10="","","-")</f>
        <v/>
      </c>
    </row>
    <row r="13">
      <c r="A13" s="72">
        <f>IF(Lists!$A$11="","",Lists!$A$11)</f>
        <v/>
      </c>
      <c r="B13" s="72">
        <f>IFERROR(IF(Lists!$A$11="","",INDEX(Database!$H:$H,MATCH(MAXIFS(Database!$A:$A,Database!$B:$B,Lists!$A$11),Database!$A:$A,0))),"")</f>
        <v/>
      </c>
      <c r="C13" s="72">
        <f>IFERROR(IF(Lists!$A$11="","",IF(INDEX(Database!$J:$J,MATCH(MAXIFS(Database!$A:$A,Database!$B:$B,Lists!$A$11),Database!$A:$A,0))="Yes","Mixed-Use","Residential")),"")</f>
        <v/>
      </c>
      <c r="D13" s="73">
        <f>IFERROR(IF(Lists!$A$11="","",N(INDEX(Database!$AA:$AA,MATCH(MAXIFS(Database!$A:$A,Database!$B:$B,Lists!$A$11),Database!$A:$A,0)))+N(INDEX(Database!$AF:$AF,MATCH(MAXIFS(Database!$A:$A,Database!$B:$B,Lists!$A$11),Database!$A:$A,0)))+N(INDEX(Database!$AK:$AK,MATCH(MAXIFS(Database!$A:$A,Database!$B:$B,Lists!$A$11),Database!$A:$A,0)))+N(INDEX(Database!$AP:$AP,MATCH(MAXIFS(Database!$A:$A,Database!$B:$B,Lists!$A$11),Database!$A:$A,0)))+N(INDEX(Database!$AU:$AU,MATCH(MAXIFS(Database!$A:$A,Database!$B:$B,Lists!$A$11),Database!$A:$A,0)))+N(INDEX(Database!$AZ:$AZ,MATCH(MAXIFS(Database!$A:$A,Database!$B:$B,Lists!$A$11),Database!$A:$A,0)))+N(INDEX(Database!$BE:$BE,MATCH(MAXIFS(Database!$A:$A,Database!$B:$B,Lists!$A$11),Database!$A:$A,0)))+N(INDEX(Database!$BJ:$BJ,MATCH(MAXIFS(Database!$A:$A,Database!$B:$B,Lists!$A$11),Database!$A:$A,0)))+N(INDEX(Database!$BO:$BO,MATCH(MAXIFS(Database!$A:$A,Database!$B:$B,Lists!$A$11),Database!$A:$A,0)))+N(INDEX(Database!$BT:$BT,MATCH(MAXIFS(Database!$A:$A,Database!$B:$B,Lists!$A$11),Database!$A:$A,0)))+N(INDEX(Database!$BY:$BY,MATCH(MAXIFS(Database!$A:$A,Database!$B:$B,Lists!$A$11),Database!$A:$A,0)))+N(INDEX(Database!$CD:$CD,MATCH(MAXIFS(Database!$A:$A,Database!$B:$B,Lists!$A$11),Database!$A:$A,0)))+N(INDEX(Database!$CI:$CI,MATCH(MAXIFS(Database!$A:$A,Database!$B:$B,Lists!$A$11),Database!$A:$A,0)))+N(INDEX(Database!$CN:$CN,MATCH(MAXIFS(Database!$A:$A,Database!$B:$B,Lists!$A$11),Database!$A:$A,0)))+N(INDEX(Database!$CS:$CS,MATCH(MAXIFS(Database!$A:$A,Database!$B:$B,Lists!$A$11),Database!$A:$A,0)))),"")</f>
        <v/>
      </c>
      <c r="E13" s="73">
        <f>IFERROR(IF(Lists!$A$11="","",INDEX(Database!$M:$M,MATCH(MAXIFS(Database!$A:$A,Database!$B:$B,Lists!$A$11),Database!$A:$A,0))),"")</f>
        <v/>
      </c>
      <c r="F13" s="74">
        <f>IF(Lists!$A$11="","","-")</f>
        <v/>
      </c>
      <c r="G13" s="74">
        <f>IF(Lists!$A$11="","","-")</f>
        <v/>
      </c>
      <c r="H13" s="74">
        <f>IF(Lists!$A$11="","","-")</f>
        <v/>
      </c>
      <c r="I13" s="74">
        <f>IF(Lists!$A$11="","","-")</f>
        <v/>
      </c>
      <c r="J13" s="74">
        <f>IF(Lists!$A$11="","","-")</f>
        <v/>
      </c>
      <c r="K13" s="74">
        <f>IF(Lists!$A$11="","","-")</f>
        <v/>
      </c>
      <c r="L13" s="74">
        <f>IF(Lists!$A$11="","","-")</f>
        <v/>
      </c>
    </row>
    <row r="14">
      <c r="A14" s="72">
        <f>IF(Lists!$A$12="","",Lists!$A$12)</f>
        <v/>
      </c>
      <c r="B14" s="72">
        <f>IFERROR(IF(Lists!$A$12="","",INDEX(Database!$H:$H,MATCH(MAXIFS(Database!$A:$A,Database!$B:$B,Lists!$A$12),Database!$A:$A,0))),"")</f>
        <v/>
      </c>
      <c r="C14" s="72">
        <f>IFERROR(IF(Lists!$A$12="","",IF(INDEX(Database!$J:$J,MATCH(MAXIFS(Database!$A:$A,Database!$B:$B,Lists!$A$12),Database!$A:$A,0))="Yes","Mixed-Use","Residential")),"")</f>
        <v/>
      </c>
      <c r="D14" s="73">
        <f>IFERROR(IF(Lists!$A$12="","",N(INDEX(Database!$AA:$AA,MATCH(MAXIFS(Database!$A:$A,Database!$B:$B,Lists!$A$12),Database!$A:$A,0)))+N(INDEX(Database!$AF:$AF,MATCH(MAXIFS(Database!$A:$A,Database!$B:$B,Lists!$A$12),Database!$A:$A,0)))+N(INDEX(Database!$AK:$AK,MATCH(MAXIFS(Database!$A:$A,Database!$B:$B,Lists!$A$12),Database!$A:$A,0)))+N(INDEX(Database!$AP:$AP,MATCH(MAXIFS(Database!$A:$A,Database!$B:$B,Lists!$A$12),Database!$A:$A,0)))+N(INDEX(Database!$AU:$AU,MATCH(MAXIFS(Database!$A:$A,Database!$B:$B,Lists!$A$12),Database!$A:$A,0)))+N(INDEX(Database!$AZ:$AZ,MATCH(MAXIFS(Database!$A:$A,Database!$B:$B,Lists!$A$12),Database!$A:$A,0)))+N(INDEX(Database!$BE:$BE,MATCH(MAXIFS(Database!$A:$A,Database!$B:$B,Lists!$A$12),Database!$A:$A,0)))+N(INDEX(Database!$BJ:$BJ,MATCH(MAXIFS(Database!$A:$A,Database!$B:$B,Lists!$A$12),Database!$A:$A,0)))+N(INDEX(Database!$BO:$BO,MATCH(MAXIFS(Database!$A:$A,Database!$B:$B,Lists!$A$12),Database!$A:$A,0)))+N(INDEX(Database!$BT:$BT,MATCH(MAXIFS(Database!$A:$A,Database!$B:$B,Lists!$A$12),Database!$A:$A,0)))+N(INDEX(Database!$BY:$BY,MATCH(MAXIFS(Database!$A:$A,Database!$B:$B,Lists!$A$12),Database!$A:$A,0)))+N(INDEX(Database!$CD:$CD,MATCH(MAXIFS(Database!$A:$A,Database!$B:$B,Lists!$A$12),Database!$A:$A,0)))+N(INDEX(Database!$CI:$CI,MATCH(MAXIFS(Database!$A:$A,Database!$B:$B,Lists!$A$12),Database!$A:$A,0)))+N(INDEX(Database!$CN:$CN,MATCH(MAXIFS(Database!$A:$A,Database!$B:$B,Lists!$A$12),Database!$A:$A,0)))+N(INDEX(Database!$CS:$CS,MATCH(MAXIFS(Database!$A:$A,Database!$B:$B,Lists!$A$12),Database!$A:$A,0)))),"")</f>
        <v/>
      </c>
      <c r="E14" s="73">
        <f>IFERROR(IF(Lists!$A$12="","",INDEX(Database!$M:$M,MATCH(MAXIFS(Database!$A:$A,Database!$B:$B,Lists!$A$12),Database!$A:$A,0))),"")</f>
        <v/>
      </c>
      <c r="F14" s="74">
        <f>IF(Lists!$A$12="","","-")</f>
        <v/>
      </c>
      <c r="G14" s="74">
        <f>IF(Lists!$A$12="","","-")</f>
        <v/>
      </c>
      <c r="H14" s="74">
        <f>IF(Lists!$A$12="","","-")</f>
        <v/>
      </c>
      <c r="I14" s="74">
        <f>IF(Lists!$A$12="","","-")</f>
        <v/>
      </c>
      <c r="J14" s="74">
        <f>IF(Lists!$A$12="","","-")</f>
        <v/>
      </c>
      <c r="K14" s="74">
        <f>IF(Lists!$A$12="","","-")</f>
        <v/>
      </c>
      <c r="L14" s="74">
        <f>IF(Lists!$A$12="","","-")</f>
        <v/>
      </c>
    </row>
    <row r="15">
      <c r="A15" s="72">
        <f>IF(Lists!$A$13="","",Lists!$A$13)</f>
        <v/>
      </c>
      <c r="B15" s="72">
        <f>IFERROR(IF(Lists!$A$13="","",INDEX(Database!$H:$H,MATCH(MAXIFS(Database!$A:$A,Database!$B:$B,Lists!$A$13),Database!$A:$A,0))),"")</f>
        <v/>
      </c>
      <c r="C15" s="72">
        <f>IFERROR(IF(Lists!$A$13="","",IF(INDEX(Database!$J:$J,MATCH(MAXIFS(Database!$A:$A,Database!$B:$B,Lists!$A$13),Database!$A:$A,0))="Yes","Mixed-Use","Residential")),"")</f>
        <v/>
      </c>
      <c r="D15" s="73">
        <f>IFERROR(IF(Lists!$A$13="","",N(INDEX(Database!$AA:$AA,MATCH(MAXIFS(Database!$A:$A,Database!$B:$B,Lists!$A$13),Database!$A:$A,0)))+N(INDEX(Database!$AF:$AF,MATCH(MAXIFS(Database!$A:$A,Database!$B:$B,Lists!$A$13),Database!$A:$A,0)))+N(INDEX(Database!$AK:$AK,MATCH(MAXIFS(Database!$A:$A,Database!$B:$B,Lists!$A$13),Database!$A:$A,0)))+N(INDEX(Database!$AP:$AP,MATCH(MAXIFS(Database!$A:$A,Database!$B:$B,Lists!$A$13),Database!$A:$A,0)))+N(INDEX(Database!$AU:$AU,MATCH(MAXIFS(Database!$A:$A,Database!$B:$B,Lists!$A$13),Database!$A:$A,0)))+N(INDEX(Database!$AZ:$AZ,MATCH(MAXIFS(Database!$A:$A,Database!$B:$B,Lists!$A$13),Database!$A:$A,0)))+N(INDEX(Database!$BE:$BE,MATCH(MAXIFS(Database!$A:$A,Database!$B:$B,Lists!$A$13),Database!$A:$A,0)))+N(INDEX(Database!$BJ:$BJ,MATCH(MAXIFS(Database!$A:$A,Database!$B:$B,Lists!$A$13),Database!$A:$A,0)))+N(INDEX(Database!$BO:$BO,MATCH(MAXIFS(Database!$A:$A,Database!$B:$B,Lists!$A$13),Database!$A:$A,0)))+N(INDEX(Database!$BT:$BT,MATCH(MAXIFS(Database!$A:$A,Database!$B:$B,Lists!$A$13),Database!$A:$A,0)))+N(INDEX(Database!$BY:$BY,MATCH(MAXIFS(Database!$A:$A,Database!$B:$B,Lists!$A$13),Database!$A:$A,0)))+N(INDEX(Database!$CD:$CD,MATCH(MAXIFS(Database!$A:$A,Database!$B:$B,Lists!$A$13),Database!$A:$A,0)))+N(INDEX(Database!$CI:$CI,MATCH(MAXIFS(Database!$A:$A,Database!$B:$B,Lists!$A$13),Database!$A:$A,0)))+N(INDEX(Database!$CN:$CN,MATCH(MAXIFS(Database!$A:$A,Database!$B:$B,Lists!$A$13),Database!$A:$A,0)))+N(INDEX(Database!$CS:$CS,MATCH(MAXIFS(Database!$A:$A,Database!$B:$B,Lists!$A$13),Database!$A:$A,0)))),"")</f>
        <v/>
      </c>
      <c r="E15" s="73">
        <f>IFERROR(IF(Lists!$A$13="","",INDEX(Database!$M:$M,MATCH(MAXIFS(Database!$A:$A,Database!$B:$B,Lists!$A$13),Database!$A:$A,0))),"")</f>
        <v/>
      </c>
      <c r="F15" s="74">
        <f>IF(Lists!$A$13="","","-")</f>
        <v/>
      </c>
      <c r="G15" s="74">
        <f>IF(Lists!$A$13="","","-")</f>
        <v/>
      </c>
      <c r="H15" s="74">
        <f>IF(Lists!$A$13="","","-")</f>
        <v/>
      </c>
      <c r="I15" s="74">
        <f>IF(Lists!$A$13="","","-")</f>
        <v/>
      </c>
      <c r="J15" s="74">
        <f>IF(Lists!$A$13="","","-")</f>
        <v/>
      </c>
      <c r="K15" s="74">
        <f>IF(Lists!$A$13="","","-")</f>
        <v/>
      </c>
      <c r="L15" s="74">
        <f>IF(Lists!$A$13="","","-")</f>
        <v/>
      </c>
    </row>
    <row r="16">
      <c r="A16" s="72">
        <f>IF(Lists!$A$14="","",Lists!$A$14)</f>
        <v/>
      </c>
      <c r="B16" s="72">
        <f>IFERROR(IF(Lists!$A$14="","",INDEX(Database!$H:$H,MATCH(MAXIFS(Database!$A:$A,Database!$B:$B,Lists!$A$14),Database!$A:$A,0))),"")</f>
        <v/>
      </c>
      <c r="C16" s="72">
        <f>IFERROR(IF(Lists!$A$14="","",IF(INDEX(Database!$J:$J,MATCH(MAXIFS(Database!$A:$A,Database!$B:$B,Lists!$A$14),Database!$A:$A,0))="Yes","Mixed-Use","Residential")),"")</f>
        <v/>
      </c>
      <c r="D16" s="73">
        <f>IFERROR(IF(Lists!$A$14="","",N(INDEX(Database!$AA:$AA,MATCH(MAXIFS(Database!$A:$A,Database!$B:$B,Lists!$A$14),Database!$A:$A,0)))+N(INDEX(Database!$AF:$AF,MATCH(MAXIFS(Database!$A:$A,Database!$B:$B,Lists!$A$14),Database!$A:$A,0)))+N(INDEX(Database!$AK:$AK,MATCH(MAXIFS(Database!$A:$A,Database!$B:$B,Lists!$A$14),Database!$A:$A,0)))+N(INDEX(Database!$AP:$AP,MATCH(MAXIFS(Database!$A:$A,Database!$B:$B,Lists!$A$14),Database!$A:$A,0)))+N(INDEX(Database!$AU:$AU,MATCH(MAXIFS(Database!$A:$A,Database!$B:$B,Lists!$A$14),Database!$A:$A,0)))+N(INDEX(Database!$AZ:$AZ,MATCH(MAXIFS(Database!$A:$A,Database!$B:$B,Lists!$A$14),Database!$A:$A,0)))+N(INDEX(Database!$BE:$BE,MATCH(MAXIFS(Database!$A:$A,Database!$B:$B,Lists!$A$14),Database!$A:$A,0)))+N(INDEX(Database!$BJ:$BJ,MATCH(MAXIFS(Database!$A:$A,Database!$B:$B,Lists!$A$14),Database!$A:$A,0)))+N(INDEX(Database!$BO:$BO,MATCH(MAXIFS(Database!$A:$A,Database!$B:$B,Lists!$A$14),Database!$A:$A,0)))+N(INDEX(Database!$BT:$BT,MATCH(MAXIFS(Database!$A:$A,Database!$B:$B,Lists!$A$14),Database!$A:$A,0)))+N(INDEX(Database!$BY:$BY,MATCH(MAXIFS(Database!$A:$A,Database!$B:$B,Lists!$A$14),Database!$A:$A,0)))+N(INDEX(Database!$CD:$CD,MATCH(MAXIFS(Database!$A:$A,Database!$B:$B,Lists!$A$14),Database!$A:$A,0)))+N(INDEX(Database!$CI:$CI,MATCH(MAXIFS(Database!$A:$A,Database!$B:$B,Lists!$A$14),Database!$A:$A,0)))+N(INDEX(Database!$CN:$CN,MATCH(MAXIFS(Database!$A:$A,Database!$B:$B,Lists!$A$14),Database!$A:$A,0)))+N(INDEX(Database!$CS:$CS,MATCH(MAXIFS(Database!$A:$A,Database!$B:$B,Lists!$A$14),Database!$A:$A,0)))),"")</f>
        <v/>
      </c>
      <c r="E16" s="73">
        <f>IFERROR(IF(Lists!$A$14="","",INDEX(Database!$M:$M,MATCH(MAXIFS(Database!$A:$A,Database!$B:$B,Lists!$A$14),Database!$A:$A,0))),"")</f>
        <v/>
      </c>
      <c r="F16" s="74">
        <f>IF(Lists!$A$14="","","-")</f>
        <v/>
      </c>
      <c r="G16" s="74">
        <f>IF(Lists!$A$14="","","-")</f>
        <v/>
      </c>
      <c r="H16" s="74">
        <f>IF(Lists!$A$14="","","-")</f>
        <v/>
      </c>
      <c r="I16" s="74">
        <f>IF(Lists!$A$14="","","-")</f>
        <v/>
      </c>
      <c r="J16" s="74">
        <f>IF(Lists!$A$14="","","-")</f>
        <v/>
      </c>
      <c r="K16" s="74">
        <f>IF(Lists!$A$14="","","-")</f>
        <v/>
      </c>
      <c r="L16" s="74">
        <f>IF(Lists!$A$14="","","-")</f>
        <v/>
      </c>
    </row>
    <row r="17">
      <c r="A17" s="72">
        <f>IF(Lists!$A$15="","",Lists!$A$15)</f>
        <v/>
      </c>
      <c r="B17" s="72">
        <f>IFERROR(IF(Lists!$A$15="","",INDEX(Database!$H:$H,MATCH(MAXIFS(Database!$A:$A,Database!$B:$B,Lists!$A$15),Database!$A:$A,0))),"")</f>
        <v/>
      </c>
      <c r="C17" s="72">
        <f>IFERROR(IF(Lists!$A$15="","",IF(INDEX(Database!$J:$J,MATCH(MAXIFS(Database!$A:$A,Database!$B:$B,Lists!$A$15),Database!$A:$A,0))="Yes","Mixed-Use","Residential")),"")</f>
        <v/>
      </c>
      <c r="D17" s="73">
        <f>IFERROR(IF(Lists!$A$15="","",N(INDEX(Database!$AA:$AA,MATCH(MAXIFS(Database!$A:$A,Database!$B:$B,Lists!$A$15),Database!$A:$A,0)))+N(INDEX(Database!$AF:$AF,MATCH(MAXIFS(Database!$A:$A,Database!$B:$B,Lists!$A$15),Database!$A:$A,0)))+N(INDEX(Database!$AK:$AK,MATCH(MAXIFS(Database!$A:$A,Database!$B:$B,Lists!$A$15),Database!$A:$A,0)))+N(INDEX(Database!$AP:$AP,MATCH(MAXIFS(Database!$A:$A,Database!$B:$B,Lists!$A$15),Database!$A:$A,0)))+N(INDEX(Database!$AU:$AU,MATCH(MAXIFS(Database!$A:$A,Database!$B:$B,Lists!$A$15),Database!$A:$A,0)))+N(INDEX(Database!$AZ:$AZ,MATCH(MAXIFS(Database!$A:$A,Database!$B:$B,Lists!$A$15),Database!$A:$A,0)))+N(INDEX(Database!$BE:$BE,MATCH(MAXIFS(Database!$A:$A,Database!$B:$B,Lists!$A$15),Database!$A:$A,0)))+N(INDEX(Database!$BJ:$BJ,MATCH(MAXIFS(Database!$A:$A,Database!$B:$B,Lists!$A$15),Database!$A:$A,0)))+N(INDEX(Database!$BO:$BO,MATCH(MAXIFS(Database!$A:$A,Database!$B:$B,Lists!$A$15),Database!$A:$A,0)))+N(INDEX(Database!$BT:$BT,MATCH(MAXIFS(Database!$A:$A,Database!$B:$B,Lists!$A$15),Database!$A:$A,0)))+N(INDEX(Database!$BY:$BY,MATCH(MAXIFS(Database!$A:$A,Database!$B:$B,Lists!$A$15),Database!$A:$A,0)))+N(INDEX(Database!$CD:$CD,MATCH(MAXIFS(Database!$A:$A,Database!$B:$B,Lists!$A$15),Database!$A:$A,0)))+N(INDEX(Database!$CI:$CI,MATCH(MAXIFS(Database!$A:$A,Database!$B:$B,Lists!$A$15),Database!$A:$A,0)))+N(INDEX(Database!$CN:$CN,MATCH(MAXIFS(Database!$A:$A,Database!$B:$B,Lists!$A$15),Database!$A:$A,0)))+N(INDEX(Database!$CS:$CS,MATCH(MAXIFS(Database!$A:$A,Database!$B:$B,Lists!$A$15),Database!$A:$A,0)))),"")</f>
        <v/>
      </c>
      <c r="E17" s="73">
        <f>IFERROR(IF(Lists!$A$15="","",INDEX(Database!$M:$M,MATCH(MAXIFS(Database!$A:$A,Database!$B:$B,Lists!$A$15),Database!$A:$A,0))),"")</f>
        <v/>
      </c>
      <c r="F17" s="74">
        <f>IF(Lists!$A$15="","","-")</f>
        <v/>
      </c>
      <c r="G17" s="74">
        <f>IF(Lists!$A$15="","","-")</f>
        <v/>
      </c>
      <c r="H17" s="74">
        <f>IF(Lists!$A$15="","","-")</f>
        <v/>
      </c>
      <c r="I17" s="74">
        <f>IF(Lists!$A$15="","","-")</f>
        <v/>
      </c>
      <c r="J17" s="74">
        <f>IF(Lists!$A$15="","","-")</f>
        <v/>
      </c>
      <c r="K17" s="74">
        <f>IF(Lists!$A$15="","","-")</f>
        <v/>
      </c>
      <c r="L17" s="74">
        <f>IF(Lists!$A$15="","","-")</f>
        <v/>
      </c>
    </row>
    <row r="18">
      <c r="A18" s="72">
        <f>IF(Lists!$A$16="","",Lists!$A$16)</f>
        <v/>
      </c>
      <c r="B18" s="72">
        <f>IFERROR(IF(Lists!$A$16="","",INDEX(Database!$H:$H,MATCH(MAXIFS(Database!$A:$A,Database!$B:$B,Lists!$A$16),Database!$A:$A,0))),"")</f>
        <v/>
      </c>
      <c r="C18" s="72">
        <f>IFERROR(IF(Lists!$A$16="","",IF(INDEX(Database!$J:$J,MATCH(MAXIFS(Database!$A:$A,Database!$B:$B,Lists!$A$16),Database!$A:$A,0))="Yes","Mixed-Use","Residential")),"")</f>
        <v/>
      </c>
      <c r="D18" s="73">
        <f>IFERROR(IF(Lists!$A$16="","",N(INDEX(Database!$AA:$AA,MATCH(MAXIFS(Database!$A:$A,Database!$B:$B,Lists!$A$16),Database!$A:$A,0)))+N(INDEX(Database!$AF:$AF,MATCH(MAXIFS(Database!$A:$A,Database!$B:$B,Lists!$A$16),Database!$A:$A,0)))+N(INDEX(Database!$AK:$AK,MATCH(MAXIFS(Database!$A:$A,Database!$B:$B,Lists!$A$16),Database!$A:$A,0)))+N(INDEX(Database!$AP:$AP,MATCH(MAXIFS(Database!$A:$A,Database!$B:$B,Lists!$A$16),Database!$A:$A,0)))+N(INDEX(Database!$AU:$AU,MATCH(MAXIFS(Database!$A:$A,Database!$B:$B,Lists!$A$16),Database!$A:$A,0)))+N(INDEX(Database!$AZ:$AZ,MATCH(MAXIFS(Database!$A:$A,Database!$B:$B,Lists!$A$16),Database!$A:$A,0)))+N(INDEX(Database!$BE:$BE,MATCH(MAXIFS(Database!$A:$A,Database!$B:$B,Lists!$A$16),Database!$A:$A,0)))+N(INDEX(Database!$BJ:$BJ,MATCH(MAXIFS(Database!$A:$A,Database!$B:$B,Lists!$A$16),Database!$A:$A,0)))+N(INDEX(Database!$BO:$BO,MATCH(MAXIFS(Database!$A:$A,Database!$B:$B,Lists!$A$16),Database!$A:$A,0)))+N(INDEX(Database!$BT:$BT,MATCH(MAXIFS(Database!$A:$A,Database!$B:$B,Lists!$A$16),Database!$A:$A,0)))+N(INDEX(Database!$BY:$BY,MATCH(MAXIFS(Database!$A:$A,Database!$B:$B,Lists!$A$16),Database!$A:$A,0)))+N(INDEX(Database!$CD:$CD,MATCH(MAXIFS(Database!$A:$A,Database!$B:$B,Lists!$A$16),Database!$A:$A,0)))+N(INDEX(Database!$CI:$CI,MATCH(MAXIFS(Database!$A:$A,Database!$B:$B,Lists!$A$16),Database!$A:$A,0)))+N(INDEX(Database!$CN:$CN,MATCH(MAXIFS(Database!$A:$A,Database!$B:$B,Lists!$A$16),Database!$A:$A,0)))+N(INDEX(Database!$CS:$CS,MATCH(MAXIFS(Database!$A:$A,Database!$B:$B,Lists!$A$16),Database!$A:$A,0)))),"")</f>
        <v/>
      </c>
      <c r="E18" s="73">
        <f>IFERROR(IF(Lists!$A$16="","",INDEX(Database!$M:$M,MATCH(MAXIFS(Database!$A:$A,Database!$B:$B,Lists!$A$16),Database!$A:$A,0))),"")</f>
        <v/>
      </c>
      <c r="F18" s="74">
        <f>IF(Lists!$A$16="","","-")</f>
        <v/>
      </c>
      <c r="G18" s="74">
        <f>IF(Lists!$A$16="","","-")</f>
        <v/>
      </c>
      <c r="H18" s="74">
        <f>IF(Lists!$A$16="","","-")</f>
        <v/>
      </c>
      <c r="I18" s="74">
        <f>IF(Lists!$A$16="","","-")</f>
        <v/>
      </c>
      <c r="J18" s="74">
        <f>IF(Lists!$A$16="","","-")</f>
        <v/>
      </c>
      <c r="K18" s="74">
        <f>IF(Lists!$A$16="","","-")</f>
        <v/>
      </c>
      <c r="L18" s="74">
        <f>IF(Lists!$A$16="","","-")</f>
        <v/>
      </c>
    </row>
    <row r="19">
      <c r="A19" s="72">
        <f>IF(Lists!$A$17="","",Lists!$A$17)</f>
        <v/>
      </c>
      <c r="B19" s="72">
        <f>IFERROR(IF(Lists!$A$17="","",INDEX(Database!$H:$H,MATCH(MAXIFS(Database!$A:$A,Database!$B:$B,Lists!$A$17),Database!$A:$A,0))),"")</f>
        <v/>
      </c>
      <c r="C19" s="72">
        <f>IFERROR(IF(Lists!$A$17="","",IF(INDEX(Database!$J:$J,MATCH(MAXIFS(Database!$A:$A,Database!$B:$B,Lists!$A$17),Database!$A:$A,0))="Yes","Mixed-Use","Residential")),"")</f>
        <v/>
      </c>
      <c r="D19" s="73">
        <f>IFERROR(IF(Lists!$A$17="","",N(INDEX(Database!$AA:$AA,MATCH(MAXIFS(Database!$A:$A,Database!$B:$B,Lists!$A$17),Database!$A:$A,0)))+N(INDEX(Database!$AF:$AF,MATCH(MAXIFS(Database!$A:$A,Database!$B:$B,Lists!$A$17),Database!$A:$A,0)))+N(INDEX(Database!$AK:$AK,MATCH(MAXIFS(Database!$A:$A,Database!$B:$B,Lists!$A$17),Database!$A:$A,0)))+N(INDEX(Database!$AP:$AP,MATCH(MAXIFS(Database!$A:$A,Database!$B:$B,Lists!$A$17),Database!$A:$A,0)))+N(INDEX(Database!$AU:$AU,MATCH(MAXIFS(Database!$A:$A,Database!$B:$B,Lists!$A$17),Database!$A:$A,0)))+N(INDEX(Database!$AZ:$AZ,MATCH(MAXIFS(Database!$A:$A,Database!$B:$B,Lists!$A$17),Database!$A:$A,0)))+N(INDEX(Database!$BE:$BE,MATCH(MAXIFS(Database!$A:$A,Database!$B:$B,Lists!$A$17),Database!$A:$A,0)))+N(INDEX(Database!$BJ:$BJ,MATCH(MAXIFS(Database!$A:$A,Database!$B:$B,Lists!$A$17),Database!$A:$A,0)))+N(INDEX(Database!$BO:$BO,MATCH(MAXIFS(Database!$A:$A,Database!$B:$B,Lists!$A$17),Database!$A:$A,0)))+N(INDEX(Database!$BT:$BT,MATCH(MAXIFS(Database!$A:$A,Database!$B:$B,Lists!$A$17),Database!$A:$A,0)))+N(INDEX(Database!$BY:$BY,MATCH(MAXIFS(Database!$A:$A,Database!$B:$B,Lists!$A$17),Database!$A:$A,0)))+N(INDEX(Database!$CD:$CD,MATCH(MAXIFS(Database!$A:$A,Database!$B:$B,Lists!$A$17),Database!$A:$A,0)))+N(INDEX(Database!$CI:$CI,MATCH(MAXIFS(Database!$A:$A,Database!$B:$B,Lists!$A$17),Database!$A:$A,0)))+N(INDEX(Database!$CN:$CN,MATCH(MAXIFS(Database!$A:$A,Database!$B:$B,Lists!$A$17),Database!$A:$A,0)))+N(INDEX(Database!$CS:$CS,MATCH(MAXIFS(Database!$A:$A,Database!$B:$B,Lists!$A$17),Database!$A:$A,0)))),"")</f>
        <v/>
      </c>
      <c r="E19" s="73">
        <f>IFERROR(IF(Lists!$A$17="","",INDEX(Database!$M:$M,MATCH(MAXIFS(Database!$A:$A,Database!$B:$B,Lists!$A$17),Database!$A:$A,0))),"")</f>
        <v/>
      </c>
      <c r="F19" s="74">
        <f>IF(Lists!$A$17="","","-")</f>
        <v/>
      </c>
      <c r="G19" s="74">
        <f>IF(Lists!$A$17="","","-")</f>
        <v/>
      </c>
      <c r="H19" s="74">
        <f>IF(Lists!$A$17="","","-")</f>
        <v/>
      </c>
      <c r="I19" s="74">
        <f>IF(Lists!$A$17="","","-")</f>
        <v/>
      </c>
      <c r="J19" s="74">
        <f>IF(Lists!$A$17="","","-")</f>
        <v/>
      </c>
      <c r="K19" s="74">
        <f>IF(Lists!$A$17="","","-")</f>
        <v/>
      </c>
      <c r="L19" s="74">
        <f>IF(Lists!$A$17="","","-")</f>
        <v/>
      </c>
    </row>
    <row r="20">
      <c r="A20" s="72">
        <f>IF(Lists!$A$18="","",Lists!$A$18)</f>
        <v/>
      </c>
      <c r="B20" s="72">
        <f>IFERROR(IF(Lists!$A$18="","",INDEX(Database!$H:$H,MATCH(MAXIFS(Database!$A:$A,Database!$B:$B,Lists!$A$18),Database!$A:$A,0))),"")</f>
        <v/>
      </c>
      <c r="C20" s="72">
        <f>IFERROR(IF(Lists!$A$18="","",IF(INDEX(Database!$J:$J,MATCH(MAXIFS(Database!$A:$A,Database!$B:$B,Lists!$A$18),Database!$A:$A,0))="Yes","Mixed-Use","Residential")),"")</f>
        <v/>
      </c>
      <c r="D20" s="73">
        <f>IFERROR(IF(Lists!$A$18="","",N(INDEX(Database!$AA:$AA,MATCH(MAXIFS(Database!$A:$A,Database!$B:$B,Lists!$A$18),Database!$A:$A,0)))+N(INDEX(Database!$AF:$AF,MATCH(MAXIFS(Database!$A:$A,Database!$B:$B,Lists!$A$18),Database!$A:$A,0)))+N(INDEX(Database!$AK:$AK,MATCH(MAXIFS(Database!$A:$A,Database!$B:$B,Lists!$A$18),Database!$A:$A,0)))+N(INDEX(Database!$AP:$AP,MATCH(MAXIFS(Database!$A:$A,Database!$B:$B,Lists!$A$18),Database!$A:$A,0)))+N(INDEX(Database!$AU:$AU,MATCH(MAXIFS(Database!$A:$A,Database!$B:$B,Lists!$A$18),Database!$A:$A,0)))+N(INDEX(Database!$AZ:$AZ,MATCH(MAXIFS(Database!$A:$A,Database!$B:$B,Lists!$A$18),Database!$A:$A,0)))+N(INDEX(Database!$BE:$BE,MATCH(MAXIFS(Database!$A:$A,Database!$B:$B,Lists!$A$18),Database!$A:$A,0)))+N(INDEX(Database!$BJ:$BJ,MATCH(MAXIFS(Database!$A:$A,Database!$B:$B,Lists!$A$18),Database!$A:$A,0)))+N(INDEX(Database!$BO:$BO,MATCH(MAXIFS(Database!$A:$A,Database!$B:$B,Lists!$A$18),Database!$A:$A,0)))+N(INDEX(Database!$BT:$BT,MATCH(MAXIFS(Database!$A:$A,Database!$B:$B,Lists!$A$18),Database!$A:$A,0)))+N(INDEX(Database!$BY:$BY,MATCH(MAXIFS(Database!$A:$A,Database!$B:$B,Lists!$A$18),Database!$A:$A,0)))+N(INDEX(Database!$CD:$CD,MATCH(MAXIFS(Database!$A:$A,Database!$B:$B,Lists!$A$18),Database!$A:$A,0)))+N(INDEX(Database!$CI:$CI,MATCH(MAXIFS(Database!$A:$A,Database!$B:$B,Lists!$A$18),Database!$A:$A,0)))+N(INDEX(Database!$CN:$CN,MATCH(MAXIFS(Database!$A:$A,Database!$B:$B,Lists!$A$18),Database!$A:$A,0)))+N(INDEX(Database!$CS:$CS,MATCH(MAXIFS(Database!$A:$A,Database!$B:$B,Lists!$A$18),Database!$A:$A,0)))),"")</f>
        <v/>
      </c>
      <c r="E20" s="73">
        <f>IFERROR(IF(Lists!$A$18="","",INDEX(Database!$M:$M,MATCH(MAXIFS(Database!$A:$A,Database!$B:$B,Lists!$A$18),Database!$A:$A,0))),"")</f>
        <v/>
      </c>
      <c r="F20" s="74">
        <f>IF(Lists!$A$18="","","-")</f>
        <v/>
      </c>
      <c r="G20" s="74">
        <f>IF(Lists!$A$18="","","-")</f>
        <v/>
      </c>
      <c r="H20" s="74">
        <f>IF(Lists!$A$18="","","-")</f>
        <v/>
      </c>
      <c r="I20" s="74">
        <f>IF(Lists!$A$18="","","-")</f>
        <v/>
      </c>
      <c r="J20" s="74">
        <f>IF(Lists!$A$18="","","-")</f>
        <v/>
      </c>
      <c r="K20" s="74">
        <f>IF(Lists!$A$18="","","-")</f>
        <v/>
      </c>
      <c r="L20" s="74">
        <f>IF(Lists!$A$18="","","-")</f>
        <v/>
      </c>
    </row>
    <row r="21">
      <c r="A21" s="72">
        <f>IF(Lists!$A$19="","",Lists!$A$19)</f>
        <v/>
      </c>
      <c r="B21" s="72">
        <f>IFERROR(IF(Lists!$A$19="","",INDEX(Database!$H:$H,MATCH(MAXIFS(Database!$A:$A,Database!$B:$B,Lists!$A$19),Database!$A:$A,0))),"")</f>
        <v/>
      </c>
      <c r="C21" s="72">
        <f>IFERROR(IF(Lists!$A$19="","",IF(INDEX(Database!$J:$J,MATCH(MAXIFS(Database!$A:$A,Database!$B:$B,Lists!$A$19),Database!$A:$A,0))="Yes","Mixed-Use","Residential")),"")</f>
        <v/>
      </c>
      <c r="D21" s="73">
        <f>IFERROR(IF(Lists!$A$19="","",N(INDEX(Database!$AA:$AA,MATCH(MAXIFS(Database!$A:$A,Database!$B:$B,Lists!$A$19),Database!$A:$A,0)))+N(INDEX(Database!$AF:$AF,MATCH(MAXIFS(Database!$A:$A,Database!$B:$B,Lists!$A$19),Database!$A:$A,0)))+N(INDEX(Database!$AK:$AK,MATCH(MAXIFS(Database!$A:$A,Database!$B:$B,Lists!$A$19),Database!$A:$A,0)))+N(INDEX(Database!$AP:$AP,MATCH(MAXIFS(Database!$A:$A,Database!$B:$B,Lists!$A$19),Database!$A:$A,0)))+N(INDEX(Database!$AU:$AU,MATCH(MAXIFS(Database!$A:$A,Database!$B:$B,Lists!$A$19),Database!$A:$A,0)))+N(INDEX(Database!$AZ:$AZ,MATCH(MAXIFS(Database!$A:$A,Database!$B:$B,Lists!$A$19),Database!$A:$A,0)))+N(INDEX(Database!$BE:$BE,MATCH(MAXIFS(Database!$A:$A,Database!$B:$B,Lists!$A$19),Database!$A:$A,0)))+N(INDEX(Database!$BJ:$BJ,MATCH(MAXIFS(Database!$A:$A,Database!$B:$B,Lists!$A$19),Database!$A:$A,0)))+N(INDEX(Database!$BO:$BO,MATCH(MAXIFS(Database!$A:$A,Database!$B:$B,Lists!$A$19),Database!$A:$A,0)))+N(INDEX(Database!$BT:$BT,MATCH(MAXIFS(Database!$A:$A,Database!$B:$B,Lists!$A$19),Database!$A:$A,0)))+N(INDEX(Database!$BY:$BY,MATCH(MAXIFS(Database!$A:$A,Database!$B:$B,Lists!$A$19),Database!$A:$A,0)))+N(INDEX(Database!$CD:$CD,MATCH(MAXIFS(Database!$A:$A,Database!$B:$B,Lists!$A$19),Database!$A:$A,0)))+N(INDEX(Database!$CI:$CI,MATCH(MAXIFS(Database!$A:$A,Database!$B:$B,Lists!$A$19),Database!$A:$A,0)))+N(INDEX(Database!$CN:$CN,MATCH(MAXIFS(Database!$A:$A,Database!$B:$B,Lists!$A$19),Database!$A:$A,0)))+N(INDEX(Database!$CS:$CS,MATCH(MAXIFS(Database!$A:$A,Database!$B:$B,Lists!$A$19),Database!$A:$A,0)))),"")</f>
        <v/>
      </c>
      <c r="E21" s="73">
        <f>IFERROR(IF(Lists!$A$19="","",INDEX(Database!$M:$M,MATCH(MAXIFS(Database!$A:$A,Database!$B:$B,Lists!$A$19),Database!$A:$A,0))),"")</f>
        <v/>
      </c>
      <c r="F21" s="74">
        <f>IF(Lists!$A$19="","","-")</f>
        <v/>
      </c>
      <c r="G21" s="74">
        <f>IF(Lists!$A$19="","","-")</f>
        <v/>
      </c>
      <c r="H21" s="74">
        <f>IF(Lists!$A$19="","","-")</f>
        <v/>
      </c>
      <c r="I21" s="74">
        <f>IF(Lists!$A$19="","","-")</f>
        <v/>
      </c>
      <c r="J21" s="74">
        <f>IF(Lists!$A$19="","","-")</f>
        <v/>
      </c>
      <c r="K21" s="74">
        <f>IF(Lists!$A$19="","","-")</f>
        <v/>
      </c>
      <c r="L21" s="74">
        <f>IF(Lists!$A$19="","","-")</f>
        <v/>
      </c>
    </row>
    <row r="22">
      <c r="A22" s="72">
        <f>IF(Lists!$A$20="","",Lists!$A$20)</f>
        <v/>
      </c>
      <c r="B22" s="72">
        <f>IFERROR(IF(Lists!$A$20="","",INDEX(Database!$H:$H,MATCH(MAXIFS(Database!$A:$A,Database!$B:$B,Lists!$A$20),Database!$A:$A,0))),"")</f>
        <v/>
      </c>
      <c r="C22" s="72">
        <f>IFERROR(IF(Lists!$A$20="","",IF(INDEX(Database!$J:$J,MATCH(MAXIFS(Database!$A:$A,Database!$B:$B,Lists!$A$20),Database!$A:$A,0))="Yes","Mixed-Use","Residential")),"")</f>
        <v/>
      </c>
      <c r="D22" s="73">
        <f>IFERROR(IF(Lists!$A$20="","",N(INDEX(Database!$AA:$AA,MATCH(MAXIFS(Database!$A:$A,Database!$B:$B,Lists!$A$20),Database!$A:$A,0)))+N(INDEX(Database!$AF:$AF,MATCH(MAXIFS(Database!$A:$A,Database!$B:$B,Lists!$A$20),Database!$A:$A,0)))+N(INDEX(Database!$AK:$AK,MATCH(MAXIFS(Database!$A:$A,Database!$B:$B,Lists!$A$20),Database!$A:$A,0)))+N(INDEX(Database!$AP:$AP,MATCH(MAXIFS(Database!$A:$A,Database!$B:$B,Lists!$A$20),Database!$A:$A,0)))+N(INDEX(Database!$AU:$AU,MATCH(MAXIFS(Database!$A:$A,Database!$B:$B,Lists!$A$20),Database!$A:$A,0)))+N(INDEX(Database!$AZ:$AZ,MATCH(MAXIFS(Database!$A:$A,Database!$B:$B,Lists!$A$20),Database!$A:$A,0)))+N(INDEX(Database!$BE:$BE,MATCH(MAXIFS(Database!$A:$A,Database!$B:$B,Lists!$A$20),Database!$A:$A,0)))+N(INDEX(Database!$BJ:$BJ,MATCH(MAXIFS(Database!$A:$A,Database!$B:$B,Lists!$A$20),Database!$A:$A,0)))+N(INDEX(Database!$BO:$BO,MATCH(MAXIFS(Database!$A:$A,Database!$B:$B,Lists!$A$20),Database!$A:$A,0)))+N(INDEX(Database!$BT:$BT,MATCH(MAXIFS(Database!$A:$A,Database!$B:$B,Lists!$A$20),Database!$A:$A,0)))+N(INDEX(Database!$BY:$BY,MATCH(MAXIFS(Database!$A:$A,Database!$B:$B,Lists!$A$20),Database!$A:$A,0)))+N(INDEX(Database!$CD:$CD,MATCH(MAXIFS(Database!$A:$A,Database!$B:$B,Lists!$A$20),Database!$A:$A,0)))+N(INDEX(Database!$CI:$CI,MATCH(MAXIFS(Database!$A:$A,Database!$B:$B,Lists!$A$20),Database!$A:$A,0)))+N(INDEX(Database!$CN:$CN,MATCH(MAXIFS(Database!$A:$A,Database!$B:$B,Lists!$A$20),Database!$A:$A,0)))+N(INDEX(Database!$CS:$CS,MATCH(MAXIFS(Database!$A:$A,Database!$B:$B,Lists!$A$20),Database!$A:$A,0)))),"")</f>
        <v/>
      </c>
      <c r="E22" s="73">
        <f>IFERROR(IF(Lists!$A$20="","",INDEX(Database!$M:$M,MATCH(MAXIFS(Database!$A:$A,Database!$B:$B,Lists!$A$20),Database!$A:$A,0))),"")</f>
        <v/>
      </c>
      <c r="F22" s="74">
        <f>IF(Lists!$A$20="","","-")</f>
        <v/>
      </c>
      <c r="G22" s="74">
        <f>IF(Lists!$A$20="","","-")</f>
        <v/>
      </c>
      <c r="H22" s="74">
        <f>IF(Lists!$A$20="","","-")</f>
        <v/>
      </c>
      <c r="I22" s="74">
        <f>IF(Lists!$A$20="","","-")</f>
        <v/>
      </c>
      <c r="J22" s="74">
        <f>IF(Lists!$A$20="","","-")</f>
        <v/>
      </c>
      <c r="K22" s="74">
        <f>IF(Lists!$A$20="","","-")</f>
        <v/>
      </c>
      <c r="L22" s="74">
        <f>IF(Lists!$A$20="","","-")</f>
        <v/>
      </c>
    </row>
    <row r="23">
      <c r="A23" s="72">
        <f>IF(Lists!$A$21="","",Lists!$A$21)</f>
        <v/>
      </c>
      <c r="B23" s="72">
        <f>IFERROR(IF(Lists!$A$21="","",INDEX(Database!$H:$H,MATCH(MAXIFS(Database!$A:$A,Database!$B:$B,Lists!$A$21),Database!$A:$A,0))),"")</f>
        <v/>
      </c>
      <c r="C23" s="72">
        <f>IFERROR(IF(Lists!$A$21="","",IF(INDEX(Database!$J:$J,MATCH(MAXIFS(Database!$A:$A,Database!$B:$B,Lists!$A$21),Database!$A:$A,0))="Yes","Mixed-Use","Residential")),"")</f>
        <v/>
      </c>
      <c r="D23" s="73">
        <f>IFERROR(IF(Lists!$A$21="","",N(INDEX(Database!$AA:$AA,MATCH(MAXIFS(Database!$A:$A,Database!$B:$B,Lists!$A$21),Database!$A:$A,0)))+N(INDEX(Database!$AF:$AF,MATCH(MAXIFS(Database!$A:$A,Database!$B:$B,Lists!$A$21),Database!$A:$A,0)))+N(INDEX(Database!$AK:$AK,MATCH(MAXIFS(Database!$A:$A,Database!$B:$B,Lists!$A$21),Database!$A:$A,0)))+N(INDEX(Database!$AP:$AP,MATCH(MAXIFS(Database!$A:$A,Database!$B:$B,Lists!$A$21),Database!$A:$A,0)))+N(INDEX(Database!$AU:$AU,MATCH(MAXIFS(Database!$A:$A,Database!$B:$B,Lists!$A$21),Database!$A:$A,0)))+N(INDEX(Database!$AZ:$AZ,MATCH(MAXIFS(Database!$A:$A,Database!$B:$B,Lists!$A$21),Database!$A:$A,0)))+N(INDEX(Database!$BE:$BE,MATCH(MAXIFS(Database!$A:$A,Database!$B:$B,Lists!$A$21),Database!$A:$A,0)))+N(INDEX(Database!$BJ:$BJ,MATCH(MAXIFS(Database!$A:$A,Database!$B:$B,Lists!$A$21),Database!$A:$A,0)))+N(INDEX(Database!$BO:$BO,MATCH(MAXIFS(Database!$A:$A,Database!$B:$B,Lists!$A$21),Database!$A:$A,0)))+N(INDEX(Database!$BT:$BT,MATCH(MAXIFS(Database!$A:$A,Database!$B:$B,Lists!$A$21),Database!$A:$A,0)))+N(INDEX(Database!$BY:$BY,MATCH(MAXIFS(Database!$A:$A,Database!$B:$B,Lists!$A$21),Database!$A:$A,0)))+N(INDEX(Database!$CD:$CD,MATCH(MAXIFS(Database!$A:$A,Database!$B:$B,Lists!$A$21),Database!$A:$A,0)))+N(INDEX(Database!$CI:$CI,MATCH(MAXIFS(Database!$A:$A,Database!$B:$B,Lists!$A$21),Database!$A:$A,0)))+N(INDEX(Database!$CN:$CN,MATCH(MAXIFS(Database!$A:$A,Database!$B:$B,Lists!$A$21),Database!$A:$A,0)))+N(INDEX(Database!$CS:$CS,MATCH(MAXIFS(Database!$A:$A,Database!$B:$B,Lists!$A$21),Database!$A:$A,0)))),"")</f>
        <v/>
      </c>
      <c r="E23" s="73">
        <f>IFERROR(IF(Lists!$A$21="","",INDEX(Database!$M:$M,MATCH(MAXIFS(Database!$A:$A,Database!$B:$B,Lists!$A$21),Database!$A:$A,0))),"")</f>
        <v/>
      </c>
      <c r="F23" s="74">
        <f>IF(Lists!$A$21="","","-")</f>
        <v/>
      </c>
      <c r="G23" s="74">
        <f>IF(Lists!$A$21="","","-")</f>
        <v/>
      </c>
      <c r="H23" s="74">
        <f>IF(Lists!$A$21="","","-")</f>
        <v/>
      </c>
      <c r="I23" s="74">
        <f>IF(Lists!$A$21="","","-")</f>
        <v/>
      </c>
      <c r="J23" s="74">
        <f>IF(Lists!$A$21="","","-")</f>
        <v/>
      </c>
      <c r="K23" s="74">
        <f>IF(Lists!$A$21="","","-")</f>
        <v/>
      </c>
      <c r="L23" s="74">
        <f>IF(Lists!$A$21="","","-")</f>
        <v/>
      </c>
    </row>
    <row r="24">
      <c r="A24" s="45" t="inlineStr">
        <is>
          <t>PROGRAM TOTAL</t>
        </is>
      </c>
      <c r="D24" s="75">
        <f>SUM(D4:D23)</f>
        <v/>
      </c>
      <c r="E24" s="75">
        <f>SUM(E4:E23)</f>
        <v/>
      </c>
    </row>
    <row r="26">
      <c r="A26" s="17" t="inlineStr">
        <is>
          <t>Note: EGI / NOI / cost metrics roll up once each phase has a saved record; Database stores raw inputs, so program-level $ metrics recompute from the latest record per phase. Subtotals by Program (Affordable vs Market) and by Site build on the same MAXIFS+INDEX pattern.</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sheetData>
    <row r="1">
      <c r="A1" s="65" t="inlineStr">
        <is>
          <t>PHASE DETAIL  -  read-only single-phase proforma (printable)</t>
        </is>
      </c>
    </row>
    <row r="3">
      <c r="A3" s="9" t="inlineStr">
        <is>
          <t>Selected Phase</t>
        </is>
      </c>
      <c r="B3" s="8" t="inlineStr">
        <is>
          <t>1-2A</t>
        </is>
      </c>
    </row>
    <row r="5">
      <c r="A5" s="6" t="inlineStr">
        <is>
          <t>Renders the Exhibit G untrended proforma + key stats for the selected phase, pulled from the Database latest record.</t>
        </is>
      </c>
    </row>
    <row r="7">
      <c r="A7" s="76" t="inlineStr">
        <is>
          <t>Operating Proforma (untrended)</t>
        </is>
      </c>
      <c r="B7" s="64" t="inlineStr">
        <is>
          <t>$ Annual</t>
        </is>
      </c>
    </row>
    <row r="8">
      <c r="A8" s="26" t="inlineStr">
        <is>
          <t>Gross Potential Rent</t>
        </is>
      </c>
      <c r="B8" s="77">
        <f>"-"</f>
        <v/>
      </c>
    </row>
    <row r="9">
      <c r="A9" s="26" t="inlineStr">
        <is>
          <t>Net Rental Revenue</t>
        </is>
      </c>
      <c r="B9" s="77">
        <f>"-"</f>
        <v/>
      </c>
    </row>
    <row r="10">
      <c r="A10" s="26" t="inlineStr">
        <is>
          <t>Vacancy</t>
        </is>
      </c>
      <c r="B10" s="77">
        <f>"-"</f>
        <v/>
      </c>
    </row>
    <row r="11">
      <c r="A11" s="26" t="inlineStr">
        <is>
          <t>Concession</t>
        </is>
      </c>
      <c r="B11" s="77">
        <f>"-"</f>
        <v/>
      </c>
    </row>
    <row r="12">
      <c r="A12" s="26" t="inlineStr">
        <is>
          <t>Collection Loss</t>
        </is>
      </c>
      <c r="B12" s="77">
        <f>"-"</f>
        <v/>
      </c>
    </row>
    <row r="13">
      <c r="A13" s="26" t="inlineStr">
        <is>
          <t>Effective Rental Revenue</t>
        </is>
      </c>
      <c r="B13" s="77">
        <f>"-"</f>
        <v/>
      </c>
    </row>
    <row r="14">
      <c r="A14" s="26" t="inlineStr">
        <is>
          <t>Other Income (net)</t>
        </is>
      </c>
      <c r="B14" s="77">
        <f>"-"</f>
        <v/>
      </c>
    </row>
    <row r="15">
      <c r="A15" s="26" t="inlineStr">
        <is>
          <t>Effective Gross Income (EGI)</t>
        </is>
      </c>
      <c r="B15" s="77">
        <f>"-"</f>
        <v/>
      </c>
    </row>
    <row r="16">
      <c r="A16" s="26" t="inlineStr">
        <is>
          <t>Total Operating Expenses</t>
        </is>
      </c>
      <c r="B16" s="77">
        <f>"-"</f>
        <v/>
      </c>
    </row>
    <row r="17">
      <c r="A17" s="26" t="inlineStr">
        <is>
          <t>OpEx Ratio</t>
        </is>
      </c>
      <c r="B17" s="52">
        <f>"-"</f>
        <v/>
      </c>
    </row>
    <row r="18">
      <c r="A18" s="26" t="inlineStr">
        <is>
          <t>Net Operating Income (total)</t>
        </is>
      </c>
      <c r="B18" s="77">
        <f>"-"</f>
        <v/>
      </c>
    </row>
    <row r="21">
      <c r="A21" s="17" t="inlineStr">
        <is>
          <t>Note: when SelectedPhaseDetail = the Cockpit's SelectedPhase, this view equals Exhibit G. For other phases it recomputes from that phase's latest stored inputs using the same formulas (wired in the next pass alongside the CF engine).</t>
        </is>
      </c>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B3" showDropDown="0" showInputMessage="0" showErrorMessage="0" allowBlank="0" type="list">
      <formula1>=PhaseID_List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R10"/>
  <sheetViews>
    <sheetView showGridLines="0" workbookViewId="0">
      <selection activeCell="A1" sqref="A1"/>
    </sheetView>
  </sheetViews>
  <sheetFormatPr baseColWidth="8" defaultRowHeight="15"/>
  <sheetData>
    <row r="1">
      <c r="A1" s="78" t="inlineStr">
        <is>
          <t>MONTHLY CF  -  FUTURE-SCOPE PLACEHOLDER (no calculations this pass)</t>
        </is>
      </c>
    </row>
    <row r="2">
      <c r="A2" s="6" t="inlineStr">
        <is>
          <t>Monthly date-header spine driven by Key Dates for the Cockpit's selected phase. The monthly cash-flow engine plugs in here later without rework.</t>
        </is>
      </c>
    </row>
    <row r="4">
      <c r="A4" s="9" t="inlineStr">
        <is>
          <t>Anchor: Closing date (from Cockpit)</t>
        </is>
      </c>
      <c r="B4" s="11">
        <f>Closing_Date_Cell</f>
        <v/>
      </c>
    </row>
    <row r="6">
      <c r="A6" s="9" t="inlineStr">
        <is>
          <t>Month index</t>
        </is>
      </c>
      <c r="C6" s="79" t="n">
        <v>1</v>
      </c>
      <c r="D6" s="79" t="n">
        <v>2</v>
      </c>
      <c r="E6" s="79" t="n">
        <v>3</v>
      </c>
      <c r="F6" s="79" t="n">
        <v>4</v>
      </c>
      <c r="G6" s="79" t="n">
        <v>5</v>
      </c>
      <c r="H6" s="79" t="n">
        <v>6</v>
      </c>
      <c r="I6" s="79" t="n">
        <v>7</v>
      </c>
      <c r="J6" s="79" t="n">
        <v>8</v>
      </c>
      <c r="K6" s="79" t="n">
        <v>9</v>
      </c>
      <c r="L6" s="79" t="n">
        <v>10</v>
      </c>
      <c r="M6" s="79" t="n">
        <v>11</v>
      </c>
      <c r="N6" s="79" t="n">
        <v>12</v>
      </c>
      <c r="O6" s="79" t="n">
        <v>13</v>
      </c>
      <c r="P6" s="79" t="n">
        <v>14</v>
      </c>
      <c r="Q6" s="79" t="n">
        <v>15</v>
      </c>
      <c r="R6" s="79" t="n">
        <v>16</v>
      </c>
      <c r="S6" s="79" t="n">
        <v>17</v>
      </c>
      <c r="T6" s="79" t="n">
        <v>18</v>
      </c>
      <c r="U6" s="79" t="n">
        <v>19</v>
      </c>
      <c r="V6" s="79" t="n">
        <v>20</v>
      </c>
      <c r="W6" s="79" t="n">
        <v>21</v>
      </c>
      <c r="X6" s="79" t="n">
        <v>22</v>
      </c>
      <c r="Y6" s="79" t="n">
        <v>23</v>
      </c>
      <c r="Z6" s="79" t="n">
        <v>24</v>
      </c>
      <c r="AA6" s="79" t="n">
        <v>25</v>
      </c>
      <c r="AB6" s="79" t="n">
        <v>26</v>
      </c>
      <c r="AC6" s="79" t="n">
        <v>27</v>
      </c>
      <c r="AD6" s="79" t="n">
        <v>28</v>
      </c>
      <c r="AE6" s="79" t="n">
        <v>29</v>
      </c>
      <c r="AF6" s="79" t="n">
        <v>30</v>
      </c>
      <c r="AG6" s="79" t="n">
        <v>31</v>
      </c>
      <c r="AH6" s="79" t="n">
        <v>32</v>
      </c>
      <c r="AI6" s="79" t="n">
        <v>33</v>
      </c>
      <c r="AJ6" s="79" t="n">
        <v>34</v>
      </c>
      <c r="AK6" s="79" t="n">
        <v>35</v>
      </c>
      <c r="AL6" s="79" t="n">
        <v>36</v>
      </c>
      <c r="AM6" s="79" t="n">
        <v>37</v>
      </c>
      <c r="AN6" s="79" t="n">
        <v>38</v>
      </c>
      <c r="AO6" s="79" t="n">
        <v>39</v>
      </c>
      <c r="AP6" s="79" t="n">
        <v>40</v>
      </c>
      <c r="AQ6" s="79" t="n">
        <v>41</v>
      </c>
      <c r="AR6" s="79" t="n">
        <v>42</v>
      </c>
      <c r="AS6" s="79" t="n">
        <v>43</v>
      </c>
      <c r="AT6" s="79" t="n">
        <v>44</v>
      </c>
      <c r="AU6" s="79" t="n">
        <v>45</v>
      </c>
      <c r="AV6" s="79" t="n">
        <v>46</v>
      </c>
      <c r="AW6" s="79" t="n">
        <v>47</v>
      </c>
      <c r="AX6" s="79" t="n">
        <v>48</v>
      </c>
      <c r="AY6" s="79" t="n">
        <v>49</v>
      </c>
      <c r="AZ6" s="79" t="n">
        <v>50</v>
      </c>
      <c r="BA6" s="79" t="n">
        <v>51</v>
      </c>
      <c r="BB6" s="79" t="n">
        <v>52</v>
      </c>
      <c r="BC6" s="79" t="n">
        <v>53</v>
      </c>
      <c r="BD6" s="79" t="n">
        <v>54</v>
      </c>
      <c r="BE6" s="79" t="n">
        <v>55</v>
      </c>
      <c r="BF6" s="79" t="n">
        <v>56</v>
      </c>
      <c r="BG6" s="79" t="n">
        <v>57</v>
      </c>
      <c r="BH6" s="79" t="n">
        <v>58</v>
      </c>
      <c r="BI6" s="79" t="n">
        <v>59</v>
      </c>
      <c r="BJ6" s="79" t="n">
        <v>60</v>
      </c>
      <c r="BK6" s="79" t="n">
        <v>61</v>
      </c>
      <c r="BL6" s="79" t="n">
        <v>62</v>
      </c>
      <c r="BM6" s="79" t="n">
        <v>63</v>
      </c>
      <c r="BN6" s="79" t="n">
        <v>64</v>
      </c>
      <c r="BO6" s="79" t="n">
        <v>65</v>
      </c>
      <c r="BP6" s="79" t="n">
        <v>66</v>
      </c>
      <c r="BQ6" s="79" t="n">
        <v>67</v>
      </c>
      <c r="BR6" s="79" t="n">
        <v>68</v>
      </c>
      <c r="BS6" s="79" t="n">
        <v>69</v>
      </c>
      <c r="BT6" s="79" t="n">
        <v>70</v>
      </c>
      <c r="BU6" s="79" t="n">
        <v>71</v>
      </c>
      <c r="BV6" s="79" t="n">
        <v>72</v>
      </c>
      <c r="BW6" s="79" t="n">
        <v>73</v>
      </c>
      <c r="BX6" s="79" t="n">
        <v>74</v>
      </c>
      <c r="BY6" s="79" t="n">
        <v>75</v>
      </c>
      <c r="BZ6" s="79" t="n">
        <v>76</v>
      </c>
      <c r="CA6" s="79" t="n">
        <v>77</v>
      </c>
      <c r="CB6" s="79" t="n">
        <v>78</v>
      </c>
      <c r="CC6" s="79" t="n">
        <v>79</v>
      </c>
      <c r="CD6" s="79" t="n">
        <v>80</v>
      </c>
      <c r="CE6" s="79" t="n">
        <v>81</v>
      </c>
      <c r="CF6" s="79" t="n">
        <v>82</v>
      </c>
      <c r="CG6" s="79" t="n">
        <v>83</v>
      </c>
      <c r="CH6" s="79" t="n">
        <v>84</v>
      </c>
      <c r="CI6" s="79" t="n">
        <v>85</v>
      </c>
      <c r="CJ6" s="79" t="n">
        <v>86</v>
      </c>
      <c r="CK6" s="79" t="n">
        <v>87</v>
      </c>
      <c r="CL6" s="79" t="n">
        <v>88</v>
      </c>
      <c r="CM6" s="79" t="n">
        <v>89</v>
      </c>
      <c r="CN6" s="79" t="n">
        <v>90</v>
      </c>
      <c r="CO6" s="79" t="n">
        <v>91</v>
      </c>
      <c r="CP6" s="79" t="n">
        <v>92</v>
      </c>
      <c r="CQ6" s="79" t="n">
        <v>93</v>
      </c>
      <c r="CR6" s="79" t="n">
        <v>94</v>
      </c>
      <c r="CS6" s="79" t="n">
        <v>95</v>
      </c>
      <c r="CT6" s="79" t="n">
        <v>96</v>
      </c>
      <c r="CU6" s="79" t="n">
        <v>97</v>
      </c>
      <c r="CV6" s="79" t="n">
        <v>98</v>
      </c>
      <c r="CW6" s="79" t="n">
        <v>99</v>
      </c>
      <c r="CX6" s="79" t="n">
        <v>100</v>
      </c>
      <c r="CY6" s="79" t="n">
        <v>101</v>
      </c>
      <c r="CZ6" s="79" t="n">
        <v>102</v>
      </c>
      <c r="DA6" s="79" t="n">
        <v>103</v>
      </c>
      <c r="DB6" s="79" t="n">
        <v>104</v>
      </c>
      <c r="DC6" s="79" t="n">
        <v>105</v>
      </c>
      <c r="DD6" s="79" t="n">
        <v>106</v>
      </c>
      <c r="DE6" s="79" t="n">
        <v>107</v>
      </c>
      <c r="DF6" s="79" t="n">
        <v>108</v>
      </c>
      <c r="DG6" s="79" t="n">
        <v>109</v>
      </c>
      <c r="DH6" s="79" t="n">
        <v>110</v>
      </c>
      <c r="DI6" s="79" t="n">
        <v>111</v>
      </c>
      <c r="DJ6" s="79" t="n">
        <v>112</v>
      </c>
      <c r="DK6" s="79" t="n">
        <v>113</v>
      </c>
      <c r="DL6" s="79" t="n">
        <v>114</v>
      </c>
      <c r="DM6" s="79" t="n">
        <v>115</v>
      </c>
      <c r="DN6" s="79" t="n">
        <v>116</v>
      </c>
      <c r="DO6" s="79" t="n">
        <v>117</v>
      </c>
      <c r="DP6" s="79" t="n">
        <v>118</v>
      </c>
      <c r="DQ6" s="79" t="n">
        <v>119</v>
      </c>
      <c r="DR6" s="79" t="n">
        <v>120</v>
      </c>
    </row>
    <row r="7">
      <c r="A7" s="9" t="inlineStr">
        <is>
          <t>Month start date</t>
        </is>
      </c>
      <c r="C7" s="80">
        <f>EDATE($B$4,0)</f>
        <v/>
      </c>
      <c r="D7" s="80">
        <f>EDATE($B$4,1)</f>
        <v/>
      </c>
      <c r="E7" s="80">
        <f>EDATE($B$4,2)</f>
        <v/>
      </c>
      <c r="F7" s="80">
        <f>EDATE($B$4,3)</f>
        <v/>
      </c>
      <c r="G7" s="80">
        <f>EDATE($B$4,4)</f>
        <v/>
      </c>
      <c r="H7" s="80">
        <f>EDATE($B$4,5)</f>
        <v/>
      </c>
      <c r="I7" s="80">
        <f>EDATE($B$4,6)</f>
        <v/>
      </c>
      <c r="J7" s="80">
        <f>EDATE($B$4,7)</f>
        <v/>
      </c>
      <c r="K7" s="80">
        <f>EDATE($B$4,8)</f>
        <v/>
      </c>
      <c r="L7" s="80">
        <f>EDATE($B$4,9)</f>
        <v/>
      </c>
      <c r="M7" s="80">
        <f>EDATE($B$4,10)</f>
        <v/>
      </c>
      <c r="N7" s="80">
        <f>EDATE($B$4,11)</f>
        <v/>
      </c>
      <c r="O7" s="80">
        <f>EDATE($B$4,12)</f>
        <v/>
      </c>
      <c r="P7" s="80">
        <f>EDATE($B$4,13)</f>
        <v/>
      </c>
      <c r="Q7" s="80">
        <f>EDATE($B$4,14)</f>
        <v/>
      </c>
      <c r="R7" s="80">
        <f>EDATE($B$4,15)</f>
        <v/>
      </c>
      <c r="S7" s="80">
        <f>EDATE($B$4,16)</f>
        <v/>
      </c>
      <c r="T7" s="80">
        <f>EDATE($B$4,17)</f>
        <v/>
      </c>
      <c r="U7" s="80">
        <f>EDATE($B$4,18)</f>
        <v/>
      </c>
      <c r="V7" s="80">
        <f>EDATE($B$4,19)</f>
        <v/>
      </c>
      <c r="W7" s="80">
        <f>EDATE($B$4,20)</f>
        <v/>
      </c>
      <c r="X7" s="80">
        <f>EDATE($B$4,21)</f>
        <v/>
      </c>
      <c r="Y7" s="80">
        <f>EDATE($B$4,22)</f>
        <v/>
      </c>
      <c r="Z7" s="80">
        <f>EDATE($B$4,23)</f>
        <v/>
      </c>
      <c r="AA7" s="80">
        <f>EDATE($B$4,24)</f>
        <v/>
      </c>
      <c r="AB7" s="80">
        <f>EDATE($B$4,25)</f>
        <v/>
      </c>
      <c r="AC7" s="80">
        <f>EDATE($B$4,26)</f>
        <v/>
      </c>
      <c r="AD7" s="80">
        <f>EDATE($B$4,27)</f>
        <v/>
      </c>
      <c r="AE7" s="80">
        <f>EDATE($B$4,28)</f>
        <v/>
      </c>
      <c r="AF7" s="80">
        <f>EDATE($B$4,29)</f>
        <v/>
      </c>
      <c r="AG7" s="80">
        <f>EDATE($B$4,30)</f>
        <v/>
      </c>
      <c r="AH7" s="80">
        <f>EDATE($B$4,31)</f>
        <v/>
      </c>
      <c r="AI7" s="80">
        <f>EDATE($B$4,32)</f>
        <v/>
      </c>
      <c r="AJ7" s="80">
        <f>EDATE($B$4,33)</f>
        <v/>
      </c>
      <c r="AK7" s="80">
        <f>EDATE($B$4,34)</f>
        <v/>
      </c>
      <c r="AL7" s="80">
        <f>EDATE($B$4,35)</f>
        <v/>
      </c>
      <c r="AM7" s="80">
        <f>EDATE($B$4,36)</f>
        <v/>
      </c>
      <c r="AN7" s="80">
        <f>EDATE($B$4,37)</f>
        <v/>
      </c>
      <c r="AO7" s="80">
        <f>EDATE($B$4,38)</f>
        <v/>
      </c>
      <c r="AP7" s="80">
        <f>EDATE($B$4,39)</f>
        <v/>
      </c>
      <c r="AQ7" s="80">
        <f>EDATE($B$4,40)</f>
        <v/>
      </c>
      <c r="AR7" s="80">
        <f>EDATE($B$4,41)</f>
        <v/>
      </c>
      <c r="AS7" s="80">
        <f>EDATE($B$4,42)</f>
        <v/>
      </c>
      <c r="AT7" s="80">
        <f>EDATE($B$4,43)</f>
        <v/>
      </c>
      <c r="AU7" s="80">
        <f>EDATE($B$4,44)</f>
        <v/>
      </c>
      <c r="AV7" s="80">
        <f>EDATE($B$4,45)</f>
        <v/>
      </c>
      <c r="AW7" s="80">
        <f>EDATE($B$4,46)</f>
        <v/>
      </c>
      <c r="AX7" s="80">
        <f>EDATE($B$4,47)</f>
        <v/>
      </c>
      <c r="AY7" s="80">
        <f>EDATE($B$4,48)</f>
        <v/>
      </c>
      <c r="AZ7" s="80">
        <f>EDATE($B$4,49)</f>
        <v/>
      </c>
      <c r="BA7" s="80">
        <f>EDATE($B$4,50)</f>
        <v/>
      </c>
      <c r="BB7" s="80">
        <f>EDATE($B$4,51)</f>
        <v/>
      </c>
      <c r="BC7" s="80">
        <f>EDATE($B$4,52)</f>
        <v/>
      </c>
      <c r="BD7" s="80">
        <f>EDATE($B$4,53)</f>
        <v/>
      </c>
      <c r="BE7" s="80">
        <f>EDATE($B$4,54)</f>
        <v/>
      </c>
      <c r="BF7" s="80">
        <f>EDATE($B$4,55)</f>
        <v/>
      </c>
      <c r="BG7" s="80">
        <f>EDATE($B$4,56)</f>
        <v/>
      </c>
      <c r="BH7" s="80">
        <f>EDATE($B$4,57)</f>
        <v/>
      </c>
      <c r="BI7" s="80">
        <f>EDATE($B$4,58)</f>
        <v/>
      </c>
      <c r="BJ7" s="80">
        <f>EDATE($B$4,59)</f>
        <v/>
      </c>
      <c r="BK7" s="80">
        <f>EDATE($B$4,60)</f>
        <v/>
      </c>
      <c r="BL7" s="80">
        <f>EDATE($B$4,61)</f>
        <v/>
      </c>
      <c r="BM7" s="80">
        <f>EDATE($B$4,62)</f>
        <v/>
      </c>
      <c r="BN7" s="80">
        <f>EDATE($B$4,63)</f>
        <v/>
      </c>
      <c r="BO7" s="80">
        <f>EDATE($B$4,64)</f>
        <v/>
      </c>
      <c r="BP7" s="80">
        <f>EDATE($B$4,65)</f>
        <v/>
      </c>
      <c r="BQ7" s="80">
        <f>EDATE($B$4,66)</f>
        <v/>
      </c>
      <c r="BR7" s="80">
        <f>EDATE($B$4,67)</f>
        <v/>
      </c>
      <c r="BS7" s="80">
        <f>EDATE($B$4,68)</f>
        <v/>
      </c>
      <c r="BT7" s="80">
        <f>EDATE($B$4,69)</f>
        <v/>
      </c>
      <c r="BU7" s="80">
        <f>EDATE($B$4,70)</f>
        <v/>
      </c>
      <c r="BV7" s="80">
        <f>EDATE($B$4,71)</f>
        <v/>
      </c>
      <c r="BW7" s="80">
        <f>EDATE($B$4,72)</f>
        <v/>
      </c>
      <c r="BX7" s="80">
        <f>EDATE($B$4,73)</f>
        <v/>
      </c>
      <c r="BY7" s="80">
        <f>EDATE($B$4,74)</f>
        <v/>
      </c>
      <c r="BZ7" s="80">
        <f>EDATE($B$4,75)</f>
        <v/>
      </c>
      <c r="CA7" s="80">
        <f>EDATE($B$4,76)</f>
        <v/>
      </c>
      <c r="CB7" s="80">
        <f>EDATE($B$4,77)</f>
        <v/>
      </c>
      <c r="CC7" s="80">
        <f>EDATE($B$4,78)</f>
        <v/>
      </c>
      <c r="CD7" s="80">
        <f>EDATE($B$4,79)</f>
        <v/>
      </c>
      <c r="CE7" s="80">
        <f>EDATE($B$4,80)</f>
        <v/>
      </c>
      <c r="CF7" s="80">
        <f>EDATE($B$4,81)</f>
        <v/>
      </c>
      <c r="CG7" s="80">
        <f>EDATE($B$4,82)</f>
        <v/>
      </c>
      <c r="CH7" s="80">
        <f>EDATE($B$4,83)</f>
        <v/>
      </c>
      <c r="CI7" s="80">
        <f>EDATE($B$4,84)</f>
        <v/>
      </c>
      <c r="CJ7" s="80">
        <f>EDATE($B$4,85)</f>
        <v/>
      </c>
      <c r="CK7" s="80">
        <f>EDATE($B$4,86)</f>
        <v/>
      </c>
      <c r="CL7" s="80">
        <f>EDATE($B$4,87)</f>
        <v/>
      </c>
      <c r="CM7" s="80">
        <f>EDATE($B$4,88)</f>
        <v/>
      </c>
      <c r="CN7" s="80">
        <f>EDATE($B$4,89)</f>
        <v/>
      </c>
      <c r="CO7" s="80">
        <f>EDATE($B$4,90)</f>
        <v/>
      </c>
      <c r="CP7" s="80">
        <f>EDATE($B$4,91)</f>
        <v/>
      </c>
      <c r="CQ7" s="80">
        <f>EDATE($B$4,92)</f>
        <v/>
      </c>
      <c r="CR7" s="80">
        <f>EDATE($B$4,93)</f>
        <v/>
      </c>
      <c r="CS7" s="80">
        <f>EDATE($B$4,94)</f>
        <v/>
      </c>
      <c r="CT7" s="80">
        <f>EDATE($B$4,95)</f>
        <v/>
      </c>
      <c r="CU7" s="80">
        <f>EDATE($B$4,96)</f>
        <v/>
      </c>
      <c r="CV7" s="80">
        <f>EDATE($B$4,97)</f>
        <v/>
      </c>
      <c r="CW7" s="80">
        <f>EDATE($B$4,98)</f>
        <v/>
      </c>
      <c r="CX7" s="80">
        <f>EDATE($B$4,99)</f>
        <v/>
      </c>
      <c r="CY7" s="80">
        <f>EDATE($B$4,100)</f>
        <v/>
      </c>
      <c r="CZ7" s="80">
        <f>EDATE($B$4,101)</f>
        <v/>
      </c>
      <c r="DA7" s="80">
        <f>EDATE($B$4,102)</f>
        <v/>
      </c>
      <c r="DB7" s="80">
        <f>EDATE($B$4,103)</f>
        <v/>
      </c>
      <c r="DC7" s="80">
        <f>EDATE($B$4,104)</f>
        <v/>
      </c>
      <c r="DD7" s="80">
        <f>EDATE($B$4,105)</f>
        <v/>
      </c>
      <c r="DE7" s="80">
        <f>EDATE($B$4,106)</f>
        <v/>
      </c>
      <c r="DF7" s="80">
        <f>EDATE($B$4,107)</f>
        <v/>
      </c>
      <c r="DG7" s="80">
        <f>EDATE($B$4,108)</f>
        <v/>
      </c>
      <c r="DH7" s="80">
        <f>EDATE($B$4,109)</f>
        <v/>
      </c>
      <c r="DI7" s="80">
        <f>EDATE($B$4,110)</f>
        <v/>
      </c>
      <c r="DJ7" s="80">
        <f>EDATE($B$4,111)</f>
        <v/>
      </c>
      <c r="DK7" s="80">
        <f>EDATE($B$4,112)</f>
        <v/>
      </c>
      <c r="DL7" s="80">
        <f>EDATE($B$4,113)</f>
        <v/>
      </c>
      <c r="DM7" s="80">
        <f>EDATE($B$4,114)</f>
        <v/>
      </c>
      <c r="DN7" s="80">
        <f>EDATE($B$4,115)</f>
        <v/>
      </c>
      <c r="DO7" s="80">
        <f>EDATE($B$4,116)</f>
        <v/>
      </c>
      <c r="DP7" s="80">
        <f>EDATE($B$4,117)</f>
        <v/>
      </c>
      <c r="DQ7" s="80">
        <f>EDATE($B$4,118)</f>
        <v/>
      </c>
      <c r="DR7" s="80">
        <f>EDATE($B$4,119)</f>
        <v/>
      </c>
    </row>
    <row r="8">
      <c r="A8" s="9" t="inlineStr">
        <is>
          <t>Phase month (0 = closing)</t>
        </is>
      </c>
      <c r="C8" s="81" t="n">
        <v>0</v>
      </c>
      <c r="D8" s="81" t="n">
        <v>1</v>
      </c>
      <c r="E8" s="81" t="n">
        <v>2</v>
      </c>
      <c r="F8" s="81" t="n">
        <v>3</v>
      </c>
      <c r="G8" s="81" t="n">
        <v>4</v>
      </c>
      <c r="H8" s="81" t="n">
        <v>5</v>
      </c>
      <c r="I8" s="81" t="n">
        <v>6</v>
      </c>
      <c r="J8" s="81" t="n">
        <v>7</v>
      </c>
      <c r="K8" s="81" t="n">
        <v>8</v>
      </c>
      <c r="L8" s="81" t="n">
        <v>9</v>
      </c>
      <c r="M8" s="81" t="n">
        <v>10</v>
      </c>
      <c r="N8" s="81" t="n">
        <v>11</v>
      </c>
      <c r="O8" s="81" t="n">
        <v>12</v>
      </c>
      <c r="P8" s="81" t="n">
        <v>13</v>
      </c>
      <c r="Q8" s="81" t="n">
        <v>14</v>
      </c>
      <c r="R8" s="81" t="n">
        <v>15</v>
      </c>
      <c r="S8" s="81" t="n">
        <v>16</v>
      </c>
      <c r="T8" s="81" t="n">
        <v>17</v>
      </c>
      <c r="U8" s="81" t="n">
        <v>18</v>
      </c>
      <c r="V8" s="81" t="n">
        <v>19</v>
      </c>
      <c r="W8" s="81" t="n">
        <v>20</v>
      </c>
      <c r="X8" s="81" t="n">
        <v>21</v>
      </c>
      <c r="Y8" s="81" t="n">
        <v>22</v>
      </c>
      <c r="Z8" s="81" t="n">
        <v>23</v>
      </c>
      <c r="AA8" s="81" t="n">
        <v>24</v>
      </c>
      <c r="AB8" s="81" t="n">
        <v>25</v>
      </c>
      <c r="AC8" s="81" t="n">
        <v>26</v>
      </c>
      <c r="AD8" s="81" t="n">
        <v>27</v>
      </c>
      <c r="AE8" s="81" t="n">
        <v>28</v>
      </c>
      <c r="AF8" s="81" t="n">
        <v>29</v>
      </c>
      <c r="AG8" s="81" t="n">
        <v>30</v>
      </c>
      <c r="AH8" s="81" t="n">
        <v>31</v>
      </c>
      <c r="AI8" s="81" t="n">
        <v>32</v>
      </c>
      <c r="AJ8" s="81" t="n">
        <v>33</v>
      </c>
      <c r="AK8" s="81" t="n">
        <v>34</v>
      </c>
      <c r="AL8" s="81" t="n">
        <v>35</v>
      </c>
      <c r="AM8" s="81" t="n">
        <v>36</v>
      </c>
      <c r="AN8" s="81" t="n">
        <v>37</v>
      </c>
      <c r="AO8" s="81" t="n">
        <v>38</v>
      </c>
      <c r="AP8" s="81" t="n">
        <v>39</v>
      </c>
      <c r="AQ8" s="81" t="n">
        <v>40</v>
      </c>
      <c r="AR8" s="81" t="n">
        <v>41</v>
      </c>
      <c r="AS8" s="81" t="n">
        <v>42</v>
      </c>
      <c r="AT8" s="81" t="n">
        <v>43</v>
      </c>
      <c r="AU8" s="81" t="n">
        <v>44</v>
      </c>
      <c r="AV8" s="81" t="n">
        <v>45</v>
      </c>
      <c r="AW8" s="81" t="n">
        <v>46</v>
      </c>
      <c r="AX8" s="81" t="n">
        <v>47</v>
      </c>
      <c r="AY8" s="81" t="n">
        <v>48</v>
      </c>
      <c r="AZ8" s="81" t="n">
        <v>49</v>
      </c>
      <c r="BA8" s="81" t="n">
        <v>50</v>
      </c>
      <c r="BB8" s="81" t="n">
        <v>51</v>
      </c>
      <c r="BC8" s="81" t="n">
        <v>52</v>
      </c>
      <c r="BD8" s="81" t="n">
        <v>53</v>
      </c>
      <c r="BE8" s="81" t="n">
        <v>54</v>
      </c>
      <c r="BF8" s="81" t="n">
        <v>55</v>
      </c>
      <c r="BG8" s="81" t="n">
        <v>56</v>
      </c>
      <c r="BH8" s="81" t="n">
        <v>57</v>
      </c>
      <c r="BI8" s="81" t="n">
        <v>58</v>
      </c>
      <c r="BJ8" s="81" t="n">
        <v>59</v>
      </c>
      <c r="BK8" s="81" t="n">
        <v>60</v>
      </c>
      <c r="BL8" s="81" t="n">
        <v>61</v>
      </c>
      <c r="BM8" s="81" t="n">
        <v>62</v>
      </c>
      <c r="BN8" s="81" t="n">
        <v>63</v>
      </c>
      <c r="BO8" s="81" t="n">
        <v>64</v>
      </c>
      <c r="BP8" s="81" t="n">
        <v>65</v>
      </c>
      <c r="BQ8" s="81" t="n">
        <v>66</v>
      </c>
      <c r="BR8" s="81" t="n">
        <v>67</v>
      </c>
      <c r="BS8" s="81" t="n">
        <v>68</v>
      </c>
      <c r="BT8" s="81" t="n">
        <v>69</v>
      </c>
      <c r="BU8" s="81" t="n">
        <v>70</v>
      </c>
      <c r="BV8" s="81" t="n">
        <v>71</v>
      </c>
      <c r="BW8" s="81" t="n">
        <v>72</v>
      </c>
      <c r="BX8" s="81" t="n">
        <v>73</v>
      </c>
      <c r="BY8" s="81" t="n">
        <v>74</v>
      </c>
      <c r="BZ8" s="81" t="n">
        <v>75</v>
      </c>
      <c r="CA8" s="81" t="n">
        <v>76</v>
      </c>
      <c r="CB8" s="81" t="n">
        <v>77</v>
      </c>
      <c r="CC8" s="81" t="n">
        <v>78</v>
      </c>
      <c r="CD8" s="81" t="n">
        <v>79</v>
      </c>
      <c r="CE8" s="81" t="n">
        <v>80</v>
      </c>
      <c r="CF8" s="81" t="n">
        <v>81</v>
      </c>
      <c r="CG8" s="81" t="n">
        <v>82</v>
      </c>
      <c r="CH8" s="81" t="n">
        <v>83</v>
      </c>
      <c r="CI8" s="81" t="n">
        <v>84</v>
      </c>
      <c r="CJ8" s="81" t="n">
        <v>85</v>
      </c>
      <c r="CK8" s="81" t="n">
        <v>86</v>
      </c>
      <c r="CL8" s="81" t="n">
        <v>87</v>
      </c>
      <c r="CM8" s="81" t="n">
        <v>88</v>
      </c>
      <c r="CN8" s="81" t="n">
        <v>89</v>
      </c>
      <c r="CO8" s="81" t="n">
        <v>90</v>
      </c>
      <c r="CP8" s="81" t="n">
        <v>91</v>
      </c>
      <c r="CQ8" s="81" t="n">
        <v>92</v>
      </c>
      <c r="CR8" s="81" t="n">
        <v>93</v>
      </c>
      <c r="CS8" s="81" t="n">
        <v>94</v>
      </c>
      <c r="CT8" s="81" t="n">
        <v>95</v>
      </c>
      <c r="CU8" s="81" t="n">
        <v>96</v>
      </c>
      <c r="CV8" s="81" t="n">
        <v>97</v>
      </c>
      <c r="CW8" s="81" t="n">
        <v>98</v>
      </c>
      <c r="CX8" s="81" t="n">
        <v>99</v>
      </c>
      <c r="CY8" s="81" t="n">
        <v>100</v>
      </c>
      <c r="CZ8" s="81" t="n">
        <v>101</v>
      </c>
      <c r="DA8" s="81" t="n">
        <v>102</v>
      </c>
      <c r="DB8" s="81" t="n">
        <v>103</v>
      </c>
      <c r="DC8" s="81" t="n">
        <v>104</v>
      </c>
      <c r="DD8" s="81" t="n">
        <v>105</v>
      </c>
      <c r="DE8" s="81" t="n">
        <v>106</v>
      </c>
      <c r="DF8" s="81" t="n">
        <v>107</v>
      </c>
      <c r="DG8" s="81" t="n">
        <v>108</v>
      </c>
      <c r="DH8" s="81" t="n">
        <v>109</v>
      </c>
      <c r="DI8" s="81" t="n">
        <v>110</v>
      </c>
      <c r="DJ8" s="81" t="n">
        <v>111</v>
      </c>
      <c r="DK8" s="81" t="n">
        <v>112</v>
      </c>
      <c r="DL8" s="81" t="n">
        <v>113</v>
      </c>
      <c r="DM8" s="81" t="n">
        <v>114</v>
      </c>
      <c r="DN8" s="81" t="n">
        <v>115</v>
      </c>
      <c r="DO8" s="81" t="n">
        <v>116</v>
      </c>
      <c r="DP8" s="81" t="n">
        <v>117</v>
      </c>
      <c r="DQ8" s="81" t="n">
        <v>118</v>
      </c>
      <c r="DR8" s="81" t="n">
        <v>119</v>
      </c>
    </row>
    <row r="10">
      <c r="A10" s="17" t="inlineStr">
        <is>
          <t>Engine rows (revenue, opex, capital spread by Cost-Curve tag) will be added below this spine.</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82" t="inlineStr">
        <is>
          <t>PhaseID</t>
        </is>
      </c>
      <c r="B1" s="82" t="inlineStr">
        <is>
          <t>PhaseName</t>
        </is>
      </c>
      <c r="C1" s="82" t="inlineStr">
        <is>
          <t>BedroomType</t>
        </is>
      </c>
      <c r="D1" s="82" t="inlineStr">
        <is>
          <t>RentBasis</t>
        </is>
      </c>
      <c r="E1" s="82" t="inlineStr">
        <is>
          <t>UseType</t>
        </is>
      </c>
      <c r="F1" s="82" t="inlineStr">
        <is>
          <t>RentType</t>
        </is>
      </c>
      <c r="G1" s="82" t="inlineStr">
        <is>
          <t>CostCurve</t>
        </is>
      </c>
      <c r="H1" s="82" t="inlineStr">
        <is>
          <t>YesNo</t>
        </is>
      </c>
    </row>
    <row r="2">
      <c r="A2" s="83" t="inlineStr">
        <is>
          <t>1-2A</t>
        </is>
      </c>
      <c r="B2" s="83" t="inlineStr">
        <is>
          <t>Site 1 - Bldg 2A</t>
        </is>
      </c>
      <c r="C2" s="83" t="inlineStr">
        <is>
          <t>Studio</t>
        </is>
      </c>
      <c r="D2" s="83" t="inlineStr">
        <is>
          <t>Market</t>
        </is>
      </c>
      <c r="E2" s="83" t="inlineStr">
        <is>
          <t>Residential</t>
        </is>
      </c>
      <c r="F2" s="83" t="inlineStr">
        <is>
          <t>NNN</t>
        </is>
      </c>
      <c r="G2" s="83" t="inlineStr">
        <is>
          <t>S-curve</t>
        </is>
      </c>
      <c r="H2" s="83" t="inlineStr">
        <is>
          <t>Yes</t>
        </is>
      </c>
    </row>
    <row r="3">
      <c r="A3" s="83" t="inlineStr">
        <is>
          <t>1-2B</t>
        </is>
      </c>
      <c r="B3" s="83" t="inlineStr">
        <is>
          <t>Site 1 - Bldg 2B</t>
        </is>
      </c>
      <c r="C3" s="83" t="inlineStr">
        <is>
          <t>1BR</t>
        </is>
      </c>
      <c r="D3" s="83" t="inlineStr">
        <is>
          <t>Live Local</t>
        </is>
      </c>
      <c r="E3" s="83" t="inlineStr">
        <is>
          <t>Commercial</t>
        </is>
      </c>
      <c r="F3" s="83" t="inlineStr">
        <is>
          <t>Gross</t>
        </is>
      </c>
      <c r="G3" s="83" t="inlineStr">
        <is>
          <t>Straight</t>
        </is>
      </c>
      <c r="H3" s="83" t="inlineStr">
        <is>
          <t>No</t>
        </is>
      </c>
    </row>
    <row r="4">
      <c r="A4" s="83" t="inlineStr">
        <is>
          <t>3-1B</t>
        </is>
      </c>
      <c r="B4" s="83" t="inlineStr">
        <is>
          <t>Site 3 - Bldg 1B</t>
        </is>
      </c>
      <c r="C4" s="83" t="inlineStr">
        <is>
          <t>1BR+Den</t>
        </is>
      </c>
      <c r="D4" s="83" t="inlineStr">
        <is>
          <t>LIHTC</t>
        </is>
      </c>
      <c r="E4" s="83" t="inlineStr">
        <is>
          <t>Mixed-Use</t>
        </is>
      </c>
      <c r="G4" s="83" t="inlineStr">
        <is>
          <t>Front-loaded</t>
        </is>
      </c>
    </row>
    <row r="5">
      <c r="C5" s="83" t="inlineStr">
        <is>
          <t>2BR</t>
        </is>
      </c>
      <c r="D5" s="83" t="inlineStr">
        <is>
          <t>PBV</t>
        </is>
      </c>
      <c r="G5" s="83" t="inlineStr">
        <is>
          <t>Back-loaded</t>
        </is>
      </c>
    </row>
    <row r="6">
      <c r="C6" s="83" t="inlineStr">
        <is>
          <t>2BR+Den</t>
        </is>
      </c>
      <c r="D6" s="83" t="inlineStr">
        <is>
          <t>RAD</t>
        </is>
      </c>
    </row>
    <row r="7">
      <c r="C7" s="83" t="inlineStr">
        <is>
          <t>3BR</t>
        </is>
      </c>
    </row>
    <row r="8">
      <c r="C8" s="83" t="inlineStr">
        <is>
          <t>3BR+Den</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G3"/>
  <sheetViews>
    <sheetView workbookViewId="0">
      <selection activeCell="A1" sqref="A1"/>
    </sheetView>
  </sheetViews>
  <sheetFormatPr baseColWidth="8" defaultRowHeight="15"/>
  <sheetData>
    <row r="1">
      <c r="A1" s="67" t="inlineStr">
        <is>
          <t>ARCHIVE  -  purged Database rows (FIFO overflow beyond MaxRecordsPerPhase). Recoverable; not hard-deleted.</t>
        </is>
      </c>
    </row>
    <row r="3">
      <c r="A3" s="84" t="inlineStr">
        <is>
          <t>RecordID</t>
        </is>
      </c>
      <c r="B3" s="84" t="inlineStr">
        <is>
          <t>PhaseID</t>
        </is>
      </c>
      <c r="C3" s="84" t="inlineStr">
        <is>
          <t>PhaseName</t>
        </is>
      </c>
      <c r="D3" s="84" t="inlineStr">
        <is>
          <t>Timestamp</t>
        </is>
      </c>
      <c r="E3" s="84" t="inlineStr">
        <is>
          <t>UpdatedBy</t>
        </is>
      </c>
      <c r="F3" s="84" t="inlineStr">
        <is>
          <t>Notes</t>
        </is>
      </c>
      <c r="G3" s="84" t="inlineStr">
        <is>
          <t>PhaseName_in</t>
        </is>
      </c>
      <c r="H3" s="84" t="inlineStr">
        <is>
          <t>Site_in</t>
        </is>
      </c>
      <c r="I3" s="84" t="inlineStr">
        <is>
          <t>HasResidential</t>
        </is>
      </c>
      <c r="J3" s="84" t="inlineStr">
        <is>
          <t>HasCommercial</t>
        </is>
      </c>
      <c r="K3" s="84" t="inlineStr">
        <is>
          <t>Stories</t>
        </is>
      </c>
      <c r="L3" s="84" t="inlineStr">
        <is>
          <t>GSF</t>
        </is>
      </c>
      <c r="M3" s="84" t="inlineStr">
        <is>
          <t>NetRentableArea</t>
        </is>
      </c>
      <c r="N3" s="84" t="inlineStr">
        <is>
          <t>ParkingSpaces</t>
        </is>
      </c>
      <c r="O3" s="84" t="inlineStr">
        <is>
          <t>LandArea</t>
        </is>
      </c>
      <c r="P3" s="84" t="inlineStr">
        <is>
          <t>ClosingDate</t>
        </is>
      </c>
      <c r="Q3" s="84" t="inlineStr">
        <is>
          <t>off_ConstStart</t>
        </is>
      </c>
      <c r="R3" s="84" t="inlineStr">
        <is>
          <t>off_InitialOcc</t>
        </is>
      </c>
      <c r="S3" s="84" t="inlineStr">
        <is>
          <t>off_ConstEnd</t>
        </is>
      </c>
      <c r="T3" s="84" t="inlineStr">
        <is>
          <t>off_Stab</t>
        </is>
      </c>
      <c r="U3" s="84" t="inlineStr">
        <is>
          <t>off_Exit</t>
        </is>
      </c>
      <c r="V3" s="84" t="inlineStr">
        <is>
          <t>PreleasedUnits</t>
        </is>
      </c>
      <c r="W3" s="84" t="inlineStr">
        <is>
          <t>LeaseUpPace</t>
        </is>
      </c>
      <c r="X3" s="84" t="inlineStr">
        <is>
          <t>InitialDeliveryUnits</t>
        </is>
      </c>
      <c r="Y3" s="84" t="inlineStr">
        <is>
          <t>UM01_Bed</t>
        </is>
      </c>
      <c r="Z3" s="84" t="inlineStr">
        <is>
          <t>UM01_Basis</t>
        </is>
      </c>
      <c r="AA3" s="84" t="inlineStr">
        <is>
          <t>UM01_Units</t>
        </is>
      </c>
      <c r="AB3" s="84" t="inlineStr">
        <is>
          <t>UM01_AvgSF</t>
        </is>
      </c>
      <c r="AC3" s="84" t="inlineStr">
        <is>
          <t>UM01_MktOvr</t>
        </is>
      </c>
      <c r="AD3" s="84" t="inlineStr">
        <is>
          <t>UM02_Bed</t>
        </is>
      </c>
      <c r="AE3" s="84" t="inlineStr">
        <is>
          <t>UM02_Basis</t>
        </is>
      </c>
      <c r="AF3" s="84" t="inlineStr">
        <is>
          <t>UM02_Units</t>
        </is>
      </c>
      <c r="AG3" s="84" t="inlineStr">
        <is>
          <t>UM02_AvgSF</t>
        </is>
      </c>
      <c r="AH3" s="84" t="inlineStr">
        <is>
          <t>UM02_MktOvr</t>
        </is>
      </c>
      <c r="AI3" s="84" t="inlineStr">
        <is>
          <t>UM03_Bed</t>
        </is>
      </c>
      <c r="AJ3" s="84" t="inlineStr">
        <is>
          <t>UM03_Basis</t>
        </is>
      </c>
      <c r="AK3" s="84" t="inlineStr">
        <is>
          <t>UM03_Units</t>
        </is>
      </c>
      <c r="AL3" s="84" t="inlineStr">
        <is>
          <t>UM03_AvgSF</t>
        </is>
      </c>
      <c r="AM3" s="84" t="inlineStr">
        <is>
          <t>UM03_MktOvr</t>
        </is>
      </c>
      <c r="AN3" s="84" t="inlineStr">
        <is>
          <t>UM04_Bed</t>
        </is>
      </c>
      <c r="AO3" s="84" t="inlineStr">
        <is>
          <t>UM04_Basis</t>
        </is>
      </c>
      <c r="AP3" s="84" t="inlineStr">
        <is>
          <t>UM04_Units</t>
        </is>
      </c>
      <c r="AQ3" s="84" t="inlineStr">
        <is>
          <t>UM04_AvgSF</t>
        </is>
      </c>
      <c r="AR3" s="84" t="inlineStr">
        <is>
          <t>UM04_MktOvr</t>
        </is>
      </c>
      <c r="AS3" s="84" t="inlineStr">
        <is>
          <t>UM05_Bed</t>
        </is>
      </c>
      <c r="AT3" s="84" t="inlineStr">
        <is>
          <t>UM05_Basis</t>
        </is>
      </c>
      <c r="AU3" s="84" t="inlineStr">
        <is>
          <t>UM05_Units</t>
        </is>
      </c>
      <c r="AV3" s="84" t="inlineStr">
        <is>
          <t>UM05_AvgSF</t>
        </is>
      </c>
      <c r="AW3" s="84" t="inlineStr">
        <is>
          <t>UM05_MktOvr</t>
        </is>
      </c>
      <c r="AX3" s="84" t="inlineStr">
        <is>
          <t>UM06_Bed</t>
        </is>
      </c>
      <c r="AY3" s="84" t="inlineStr">
        <is>
          <t>UM06_Basis</t>
        </is>
      </c>
      <c r="AZ3" s="84" t="inlineStr">
        <is>
          <t>UM06_Units</t>
        </is>
      </c>
      <c r="BA3" s="84" t="inlineStr">
        <is>
          <t>UM06_AvgSF</t>
        </is>
      </c>
      <c r="BB3" s="84" t="inlineStr">
        <is>
          <t>UM06_MktOvr</t>
        </is>
      </c>
      <c r="BC3" s="84" t="inlineStr">
        <is>
          <t>UM07_Bed</t>
        </is>
      </c>
      <c r="BD3" s="84" t="inlineStr">
        <is>
          <t>UM07_Basis</t>
        </is>
      </c>
      <c r="BE3" s="84" t="inlineStr">
        <is>
          <t>UM07_Units</t>
        </is>
      </c>
      <c r="BF3" s="84" t="inlineStr">
        <is>
          <t>UM07_AvgSF</t>
        </is>
      </c>
      <c r="BG3" s="84" t="inlineStr">
        <is>
          <t>UM07_MktOvr</t>
        </is>
      </c>
      <c r="BH3" s="84" t="inlineStr">
        <is>
          <t>UM08_Bed</t>
        </is>
      </c>
      <c r="BI3" s="84" t="inlineStr">
        <is>
          <t>UM08_Basis</t>
        </is>
      </c>
      <c r="BJ3" s="84" t="inlineStr">
        <is>
          <t>UM08_Units</t>
        </is>
      </c>
      <c r="BK3" s="84" t="inlineStr">
        <is>
          <t>UM08_AvgSF</t>
        </is>
      </c>
      <c r="BL3" s="84" t="inlineStr">
        <is>
          <t>UM08_MktOvr</t>
        </is>
      </c>
      <c r="BM3" s="84" t="inlineStr">
        <is>
          <t>UM09_Bed</t>
        </is>
      </c>
      <c r="BN3" s="84" t="inlineStr">
        <is>
          <t>UM09_Basis</t>
        </is>
      </c>
      <c r="BO3" s="84" t="inlineStr">
        <is>
          <t>UM09_Units</t>
        </is>
      </c>
      <c r="BP3" s="84" t="inlineStr">
        <is>
          <t>UM09_AvgSF</t>
        </is>
      </c>
      <c r="BQ3" s="84" t="inlineStr">
        <is>
          <t>UM09_MktOvr</t>
        </is>
      </c>
      <c r="BR3" s="84" t="inlineStr">
        <is>
          <t>UM10_Bed</t>
        </is>
      </c>
      <c r="BS3" s="84" t="inlineStr">
        <is>
          <t>UM10_Basis</t>
        </is>
      </c>
      <c r="BT3" s="84" t="inlineStr">
        <is>
          <t>UM10_Units</t>
        </is>
      </c>
      <c r="BU3" s="84" t="inlineStr">
        <is>
          <t>UM10_AvgSF</t>
        </is>
      </c>
      <c r="BV3" s="84" t="inlineStr">
        <is>
          <t>UM10_MktOvr</t>
        </is>
      </c>
      <c r="BW3" s="84" t="inlineStr">
        <is>
          <t>UM11_Bed</t>
        </is>
      </c>
      <c r="BX3" s="84" t="inlineStr">
        <is>
          <t>UM11_Basis</t>
        </is>
      </c>
      <c r="BY3" s="84" t="inlineStr">
        <is>
          <t>UM11_Units</t>
        </is>
      </c>
      <c r="BZ3" s="84" t="inlineStr">
        <is>
          <t>UM11_AvgSF</t>
        </is>
      </c>
      <c r="CA3" s="84" t="inlineStr">
        <is>
          <t>UM11_MktOvr</t>
        </is>
      </c>
      <c r="CB3" s="84" t="inlineStr">
        <is>
          <t>UM12_Bed</t>
        </is>
      </c>
      <c r="CC3" s="84" t="inlineStr">
        <is>
          <t>UM12_Basis</t>
        </is>
      </c>
      <c r="CD3" s="84" t="inlineStr">
        <is>
          <t>UM12_Units</t>
        </is>
      </c>
      <c r="CE3" s="84" t="inlineStr">
        <is>
          <t>UM12_AvgSF</t>
        </is>
      </c>
      <c r="CF3" s="84" t="inlineStr">
        <is>
          <t>UM12_MktOvr</t>
        </is>
      </c>
      <c r="CG3" s="84" t="inlineStr">
        <is>
          <t>UM13_Bed</t>
        </is>
      </c>
      <c r="CH3" s="84" t="inlineStr">
        <is>
          <t>UM13_Basis</t>
        </is>
      </c>
      <c r="CI3" s="84" t="inlineStr">
        <is>
          <t>UM13_Units</t>
        </is>
      </c>
      <c r="CJ3" s="84" t="inlineStr">
        <is>
          <t>UM13_AvgSF</t>
        </is>
      </c>
      <c r="CK3" s="84" t="inlineStr">
        <is>
          <t>UM13_MktOvr</t>
        </is>
      </c>
      <c r="CL3" s="84" t="inlineStr">
        <is>
          <t>UM14_Bed</t>
        </is>
      </c>
      <c r="CM3" s="84" t="inlineStr">
        <is>
          <t>UM14_Basis</t>
        </is>
      </c>
      <c r="CN3" s="84" t="inlineStr">
        <is>
          <t>UM14_Units</t>
        </is>
      </c>
      <c r="CO3" s="84" t="inlineStr">
        <is>
          <t>UM14_AvgSF</t>
        </is>
      </c>
      <c r="CP3" s="84" t="inlineStr">
        <is>
          <t>UM14_MktOvr</t>
        </is>
      </c>
      <c r="CQ3" s="84" t="inlineStr">
        <is>
          <t>UM15_Bed</t>
        </is>
      </c>
      <c r="CR3" s="84" t="inlineStr">
        <is>
          <t>UM15_Basis</t>
        </is>
      </c>
      <c r="CS3" s="84" t="inlineStr">
        <is>
          <t>UM15_Units</t>
        </is>
      </c>
      <c r="CT3" s="84" t="inlineStr">
        <is>
          <t>UM15_AvgSF</t>
        </is>
      </c>
      <c r="CU3" s="84" t="inlineStr">
        <is>
          <t>UM15_MktOvr</t>
        </is>
      </c>
      <c r="CV3" s="84" t="inlineStr">
        <is>
          <t>TurnoverRate</t>
        </is>
      </c>
      <c r="CW3" s="84" t="inlineStr">
        <is>
          <t>VacancyLossPct</t>
        </is>
      </c>
      <c r="CX3" s="84" t="inlineStr">
        <is>
          <t>CollectionLossPct</t>
        </is>
      </c>
      <c r="CY3" s="84" t="inlineStr">
        <is>
          <t>ModelUnits</t>
        </is>
      </c>
      <c r="CZ3" s="84" t="inlineStr">
        <is>
          <t>NonRevenueUnits</t>
        </is>
      </c>
      <c r="DA3" s="84" t="inlineStr">
        <is>
          <t>NonRevDiscountPct</t>
        </is>
      </c>
      <c r="DB3" s="84" t="inlineStr">
        <is>
          <t>LUConcMonths</t>
        </is>
      </c>
      <c r="DC3" s="84" t="inlineStr">
        <is>
          <t>LUConcPctLeases</t>
        </is>
      </c>
      <c r="DD3" s="84" t="inlineStr">
        <is>
          <t>StabConcMonths</t>
        </is>
      </c>
      <c r="DE3" s="84" t="inlineStr">
        <is>
          <t>StabConcPctLeases</t>
        </is>
      </c>
      <c r="DF3" s="84" t="inlineStr">
        <is>
          <t>OtherIncome_Cnt</t>
        </is>
      </c>
      <c r="DG3" s="84" t="inlineStr">
        <is>
          <t>OtherIncome_Capture</t>
        </is>
      </c>
      <c r="DH3" s="84" t="inlineStr">
        <is>
          <t>OtherIncome_Rate</t>
        </is>
      </c>
      <c r="DI3" s="84" t="inlineStr">
        <is>
          <t>ParkingRev_Cnt</t>
        </is>
      </c>
      <c r="DJ3" s="84" t="inlineStr">
        <is>
          <t>ParkingRev_Capture</t>
        </is>
      </c>
      <c r="DK3" s="84" t="inlineStr">
        <is>
          <t>ParkingRev_Rate</t>
        </is>
      </c>
      <c r="DL3" s="84" t="inlineStr">
        <is>
          <t>StorageRev_Cnt</t>
        </is>
      </c>
      <c r="DM3" s="84" t="inlineStr">
        <is>
          <t>StorageRev_Capture</t>
        </is>
      </c>
      <c r="DN3" s="84" t="inlineStr">
        <is>
          <t>StorageRev_Rate</t>
        </is>
      </c>
      <c r="DO3" s="84" t="inlineStr">
        <is>
          <t>RUBS_Cnt</t>
        </is>
      </c>
      <c r="DP3" s="84" t="inlineStr">
        <is>
          <t>RUBS_Capture</t>
        </is>
      </c>
      <c r="DQ3" s="84" t="inlineStr">
        <is>
          <t>RUBS_Rate</t>
        </is>
      </c>
      <c r="DR3" s="84" t="inlineStr">
        <is>
          <t>MgmtFeePct</t>
        </is>
      </c>
      <c r="DS3" s="84" t="inlineStr">
        <is>
          <t>Payroll_FixedPct</t>
        </is>
      </c>
      <c r="DT3" s="84" t="inlineStr">
        <is>
          <t>Payroll_PerUnit</t>
        </is>
      </c>
      <c r="DU3" s="84" t="inlineStr">
        <is>
          <t>Marketing_FixedPct</t>
        </is>
      </c>
      <c r="DV3" s="84" t="inlineStr">
        <is>
          <t>Marketing_PerUnit</t>
        </is>
      </c>
      <c r="DW3" s="84" t="inlineStr">
        <is>
          <t>RM_FixedPct</t>
        </is>
      </c>
      <c r="DX3" s="84" t="inlineStr">
        <is>
          <t>RM_PerUnit</t>
        </is>
      </c>
      <c r="DY3" s="84" t="inlineStr">
        <is>
          <t>Turnover_FixedPct</t>
        </is>
      </c>
      <c r="DZ3" s="84" t="inlineStr">
        <is>
          <t>Turnover_PerUnit</t>
        </is>
      </c>
      <c r="EA3" s="84" t="inlineStr">
        <is>
          <t>GA_FixedPct</t>
        </is>
      </c>
      <c r="EB3" s="84" t="inlineStr">
        <is>
          <t>GA_PerUnit</t>
        </is>
      </c>
      <c r="EC3" s="84" t="inlineStr">
        <is>
          <t>ContractSvcs_FixedPct</t>
        </is>
      </c>
      <c r="ED3" s="84" t="inlineStr">
        <is>
          <t>ContractSvcs_PerUnit</t>
        </is>
      </c>
      <c r="EE3" s="84" t="inlineStr">
        <is>
          <t>Utilities_FixedPct</t>
        </is>
      </c>
      <c r="EF3" s="84" t="inlineStr">
        <is>
          <t>Utilities_PerUnit</t>
        </is>
      </c>
      <c r="EG3" s="84" t="inlineStr">
        <is>
          <t>Insurance_FixedPct</t>
        </is>
      </c>
      <c r="EH3" s="84" t="inlineStr">
        <is>
          <t>Insurance_PerUnit</t>
        </is>
      </c>
      <c r="EI3" s="84" t="inlineStr">
        <is>
          <t>ReplReserve_FixedPct</t>
        </is>
      </c>
      <c r="EJ3" s="84" t="inlineStr">
        <is>
          <t>ReplReserve_PerUnit</t>
        </is>
      </c>
      <c r="EK3" s="84" t="inlineStr">
        <is>
          <t>RETax_Market</t>
        </is>
      </c>
      <c r="EL3" s="84" t="inlineStr">
        <is>
          <t>RETax_Afford</t>
        </is>
      </c>
      <c r="EM3" s="84" t="inlineStr">
        <is>
          <t>Comm_TotalSF</t>
        </is>
      </c>
      <c r="EN3" s="84" t="inlineStr">
        <is>
          <t>Comm_StaticPct</t>
        </is>
      </c>
      <c r="EO3" s="84" t="inlineStr">
        <is>
          <t>Comm_GenVac</t>
        </is>
      </c>
      <c r="EP3" s="84" t="inlineStr">
        <is>
          <t>Comm_VarPct</t>
        </is>
      </c>
      <c r="EQ3" s="84" t="inlineStr">
        <is>
          <t>Comm_VarPSF</t>
        </is>
      </c>
      <c r="ER3" s="84" t="inlineStr">
        <is>
          <t>Comm_InsPSF</t>
        </is>
      </c>
      <c r="ES3" s="84" t="inlineStr">
        <is>
          <t>Comm_TaxPSF</t>
        </is>
      </c>
      <c r="ET3" s="84" t="inlineStr">
        <is>
          <t>Comm_MgmtPct</t>
        </is>
      </c>
      <c r="EU3" s="84" t="inlineStr">
        <is>
          <t>RR01_Name</t>
        </is>
      </c>
      <c r="EV3" s="84" t="inlineStr">
        <is>
          <t>RR01_SF</t>
        </is>
      </c>
      <c r="EW3" s="84" t="inlineStr">
        <is>
          <t>RR01_StartMo</t>
        </is>
      </c>
      <c r="EX3" s="84" t="inlineStr">
        <is>
          <t>RR01_LCD</t>
        </is>
      </c>
      <c r="EY3" s="84" t="inlineStr">
        <is>
          <t>RR01_Term</t>
        </is>
      </c>
      <c r="EZ3" s="84" t="inlineStr">
        <is>
          <t>RR01_RentPSF</t>
        </is>
      </c>
      <c r="FA3" s="84" t="inlineStr">
        <is>
          <t>RR01_RentType</t>
        </is>
      </c>
      <c r="FB3" s="84" t="inlineStr">
        <is>
          <t>RR01_Escal</t>
        </is>
      </c>
      <c r="FC3" s="84" t="inlineStr">
        <is>
          <t>RR01_TIPSF</t>
        </is>
      </c>
      <c r="FD3" s="84" t="inlineStr">
        <is>
          <t>RR01_LCPct</t>
        </is>
      </c>
      <c r="FE3" s="84" t="inlineStr">
        <is>
          <t>RR01_FreeRentMo</t>
        </is>
      </c>
      <c r="FF3" s="84" t="inlineStr">
        <is>
          <t>RR01_FreeStart</t>
        </is>
      </c>
      <c r="FG3" s="84" t="inlineStr">
        <is>
          <t>RR01_Abatement</t>
        </is>
      </c>
      <c r="FH3" s="84" t="inlineStr">
        <is>
          <t>RR02_Name</t>
        </is>
      </c>
      <c r="FI3" s="84" t="inlineStr">
        <is>
          <t>RR02_SF</t>
        </is>
      </c>
      <c r="FJ3" s="84" t="inlineStr">
        <is>
          <t>RR02_StartMo</t>
        </is>
      </c>
      <c r="FK3" s="84" t="inlineStr">
        <is>
          <t>RR02_LCD</t>
        </is>
      </c>
      <c r="FL3" s="84" t="inlineStr">
        <is>
          <t>RR02_Term</t>
        </is>
      </c>
      <c r="FM3" s="84" t="inlineStr">
        <is>
          <t>RR02_RentPSF</t>
        </is>
      </c>
      <c r="FN3" s="84" t="inlineStr">
        <is>
          <t>RR02_RentType</t>
        </is>
      </c>
      <c r="FO3" s="84" t="inlineStr">
        <is>
          <t>RR02_Escal</t>
        </is>
      </c>
      <c r="FP3" s="84" t="inlineStr">
        <is>
          <t>RR02_TIPSF</t>
        </is>
      </c>
      <c r="FQ3" s="84" t="inlineStr">
        <is>
          <t>RR02_LCPct</t>
        </is>
      </c>
      <c r="FR3" s="84" t="inlineStr">
        <is>
          <t>RR02_FreeRentMo</t>
        </is>
      </c>
      <c r="FS3" s="84" t="inlineStr">
        <is>
          <t>RR02_FreeStart</t>
        </is>
      </c>
      <c r="FT3" s="84" t="inlineStr">
        <is>
          <t>RR02_Abatement</t>
        </is>
      </c>
      <c r="FU3" s="84" t="inlineStr">
        <is>
          <t>RR03_Name</t>
        </is>
      </c>
      <c r="FV3" s="84" t="inlineStr">
        <is>
          <t>RR03_SF</t>
        </is>
      </c>
      <c r="FW3" s="84" t="inlineStr">
        <is>
          <t>RR03_StartMo</t>
        </is>
      </c>
      <c r="FX3" s="84" t="inlineStr">
        <is>
          <t>RR03_LCD</t>
        </is>
      </c>
      <c r="FY3" s="84" t="inlineStr">
        <is>
          <t>RR03_Term</t>
        </is>
      </c>
      <c r="FZ3" s="84" t="inlineStr">
        <is>
          <t>RR03_RentPSF</t>
        </is>
      </c>
      <c r="GA3" s="84" t="inlineStr">
        <is>
          <t>RR03_RentType</t>
        </is>
      </c>
      <c r="GB3" s="84" t="inlineStr">
        <is>
          <t>RR03_Escal</t>
        </is>
      </c>
      <c r="GC3" s="84" t="inlineStr">
        <is>
          <t>RR03_TIPSF</t>
        </is>
      </c>
      <c r="GD3" s="84" t="inlineStr">
        <is>
          <t>RR03_LCPct</t>
        </is>
      </c>
      <c r="GE3" s="84" t="inlineStr">
        <is>
          <t>RR03_FreeRentMo</t>
        </is>
      </c>
      <c r="GF3" s="84" t="inlineStr">
        <is>
          <t>RR03_FreeStart</t>
        </is>
      </c>
      <c r="GG3" s="84" t="inlineStr">
        <is>
          <t>RR03_Abatement</t>
        </is>
      </c>
      <c r="GH3" s="84" t="inlineStr">
        <is>
          <t>RR04_Name</t>
        </is>
      </c>
      <c r="GI3" s="84" t="inlineStr">
        <is>
          <t>RR04_SF</t>
        </is>
      </c>
      <c r="GJ3" s="84" t="inlineStr">
        <is>
          <t>RR04_StartMo</t>
        </is>
      </c>
      <c r="GK3" s="84" t="inlineStr">
        <is>
          <t>RR04_LCD</t>
        </is>
      </c>
      <c r="GL3" s="84" t="inlineStr">
        <is>
          <t>RR04_Term</t>
        </is>
      </c>
      <c r="GM3" s="84" t="inlineStr">
        <is>
          <t>RR04_RentPSF</t>
        </is>
      </c>
      <c r="GN3" s="84" t="inlineStr">
        <is>
          <t>RR04_RentType</t>
        </is>
      </c>
      <c r="GO3" s="84" t="inlineStr">
        <is>
          <t>RR04_Escal</t>
        </is>
      </c>
      <c r="GP3" s="84" t="inlineStr">
        <is>
          <t>RR04_TIPSF</t>
        </is>
      </c>
      <c r="GQ3" s="84" t="inlineStr">
        <is>
          <t>RR04_LCPct</t>
        </is>
      </c>
      <c r="GR3" s="84" t="inlineStr">
        <is>
          <t>RR04_FreeRentMo</t>
        </is>
      </c>
      <c r="GS3" s="84" t="inlineStr">
        <is>
          <t>RR04_FreeStart</t>
        </is>
      </c>
      <c r="GT3" s="84" t="inlineStr">
        <is>
          <t>RR04_Abatement</t>
        </is>
      </c>
      <c r="GU3" s="84" t="inlineStr">
        <is>
          <t>RR05_Name</t>
        </is>
      </c>
      <c r="GV3" s="84" t="inlineStr">
        <is>
          <t>RR05_SF</t>
        </is>
      </c>
      <c r="GW3" s="84" t="inlineStr">
        <is>
          <t>RR05_StartMo</t>
        </is>
      </c>
      <c r="GX3" s="84" t="inlineStr">
        <is>
          <t>RR05_LCD</t>
        </is>
      </c>
      <c r="GY3" s="84" t="inlineStr">
        <is>
          <t>RR05_Term</t>
        </is>
      </c>
      <c r="GZ3" s="84" t="inlineStr">
        <is>
          <t>RR05_RentPSF</t>
        </is>
      </c>
      <c r="HA3" s="84" t="inlineStr">
        <is>
          <t>RR05_RentType</t>
        </is>
      </c>
      <c r="HB3" s="84" t="inlineStr">
        <is>
          <t>RR05_Escal</t>
        </is>
      </c>
      <c r="HC3" s="84" t="inlineStr">
        <is>
          <t>RR05_TIPSF</t>
        </is>
      </c>
      <c r="HD3" s="84" t="inlineStr">
        <is>
          <t>RR05_LCPct</t>
        </is>
      </c>
      <c r="HE3" s="84" t="inlineStr">
        <is>
          <t>RR05_FreeRentMo</t>
        </is>
      </c>
      <c r="HF3" s="84" t="inlineStr">
        <is>
          <t>RR05_FreeStart</t>
        </is>
      </c>
      <c r="HG3" s="84" t="inlineStr">
        <is>
          <t>RR05_Abatement</t>
        </is>
      </c>
      <c r="HH3" s="84" t="inlineStr">
        <is>
          <t>RR06_Name</t>
        </is>
      </c>
      <c r="HI3" s="84" t="inlineStr">
        <is>
          <t>RR06_SF</t>
        </is>
      </c>
      <c r="HJ3" s="84" t="inlineStr">
        <is>
          <t>RR06_StartMo</t>
        </is>
      </c>
      <c r="HK3" s="84" t="inlineStr">
        <is>
          <t>RR06_LCD</t>
        </is>
      </c>
      <c r="HL3" s="84" t="inlineStr">
        <is>
          <t>RR06_Term</t>
        </is>
      </c>
      <c r="HM3" s="84" t="inlineStr">
        <is>
          <t>RR06_RentPSF</t>
        </is>
      </c>
      <c r="HN3" s="84" t="inlineStr">
        <is>
          <t>RR06_RentType</t>
        </is>
      </c>
      <c r="HO3" s="84" t="inlineStr">
        <is>
          <t>RR06_Escal</t>
        </is>
      </c>
      <c r="HP3" s="84" t="inlineStr">
        <is>
          <t>RR06_TIPSF</t>
        </is>
      </c>
      <c r="HQ3" s="84" t="inlineStr">
        <is>
          <t>RR06_LCPct</t>
        </is>
      </c>
      <c r="HR3" s="84" t="inlineStr">
        <is>
          <t>RR06_FreeRentMo</t>
        </is>
      </c>
      <c r="HS3" s="84" t="inlineStr">
        <is>
          <t>RR06_FreeStart</t>
        </is>
      </c>
      <c r="HT3" s="84" t="inlineStr">
        <is>
          <t>RR06_Abatement</t>
        </is>
      </c>
      <c r="HU3" s="84" t="inlineStr">
        <is>
          <t>RR07_Name</t>
        </is>
      </c>
      <c r="HV3" s="84" t="inlineStr">
        <is>
          <t>RR07_SF</t>
        </is>
      </c>
      <c r="HW3" s="84" t="inlineStr">
        <is>
          <t>RR07_StartMo</t>
        </is>
      </c>
      <c r="HX3" s="84" t="inlineStr">
        <is>
          <t>RR07_LCD</t>
        </is>
      </c>
      <c r="HY3" s="84" t="inlineStr">
        <is>
          <t>RR07_Term</t>
        </is>
      </c>
      <c r="HZ3" s="84" t="inlineStr">
        <is>
          <t>RR07_RentPSF</t>
        </is>
      </c>
      <c r="IA3" s="84" t="inlineStr">
        <is>
          <t>RR07_RentType</t>
        </is>
      </c>
      <c r="IB3" s="84" t="inlineStr">
        <is>
          <t>RR07_Escal</t>
        </is>
      </c>
      <c r="IC3" s="84" t="inlineStr">
        <is>
          <t>RR07_TIPSF</t>
        </is>
      </c>
      <c r="ID3" s="84" t="inlineStr">
        <is>
          <t>RR07_LCPct</t>
        </is>
      </c>
      <c r="IE3" s="84" t="inlineStr">
        <is>
          <t>RR07_FreeRentMo</t>
        </is>
      </c>
      <c r="IF3" s="84" t="inlineStr">
        <is>
          <t>RR07_FreeStart</t>
        </is>
      </c>
      <c r="IG3" s="84" t="inlineStr">
        <is>
          <t>RR07_Abatement</t>
        </is>
      </c>
      <c r="IH3" s="84" t="inlineStr">
        <is>
          <t>RR08_Name</t>
        </is>
      </c>
      <c r="II3" s="84" t="inlineStr">
        <is>
          <t>RR08_SF</t>
        </is>
      </c>
      <c r="IJ3" s="84" t="inlineStr">
        <is>
          <t>RR08_StartMo</t>
        </is>
      </c>
      <c r="IK3" s="84" t="inlineStr">
        <is>
          <t>RR08_LCD</t>
        </is>
      </c>
      <c r="IL3" s="84" t="inlineStr">
        <is>
          <t>RR08_Term</t>
        </is>
      </c>
      <c r="IM3" s="84" t="inlineStr">
        <is>
          <t>RR08_RentPSF</t>
        </is>
      </c>
      <c r="IN3" s="84" t="inlineStr">
        <is>
          <t>RR08_RentType</t>
        </is>
      </c>
      <c r="IO3" s="84" t="inlineStr">
        <is>
          <t>RR08_Escal</t>
        </is>
      </c>
      <c r="IP3" s="84" t="inlineStr">
        <is>
          <t>RR08_TIPSF</t>
        </is>
      </c>
      <c r="IQ3" s="84" t="inlineStr">
        <is>
          <t>RR08_LCPct</t>
        </is>
      </c>
      <c r="IR3" s="84" t="inlineStr">
        <is>
          <t>RR08_FreeRentMo</t>
        </is>
      </c>
      <c r="IS3" s="84" t="inlineStr">
        <is>
          <t>RR08_FreeStart</t>
        </is>
      </c>
      <c r="IT3" s="84" t="inlineStr">
        <is>
          <t>RR08_Abatement</t>
        </is>
      </c>
      <c r="IU3" s="84" t="inlineStr">
        <is>
          <t>RR09_Name</t>
        </is>
      </c>
      <c r="IV3" s="84" t="inlineStr">
        <is>
          <t>RR09_SF</t>
        </is>
      </c>
      <c r="IW3" s="84" t="inlineStr">
        <is>
          <t>RR09_StartMo</t>
        </is>
      </c>
      <c r="IX3" s="84" t="inlineStr">
        <is>
          <t>RR09_LCD</t>
        </is>
      </c>
      <c r="IY3" s="84" t="inlineStr">
        <is>
          <t>RR09_Term</t>
        </is>
      </c>
      <c r="IZ3" s="84" t="inlineStr">
        <is>
          <t>RR09_RentPSF</t>
        </is>
      </c>
      <c r="JA3" s="84" t="inlineStr">
        <is>
          <t>RR09_RentType</t>
        </is>
      </c>
      <c r="JB3" s="84" t="inlineStr">
        <is>
          <t>RR09_Escal</t>
        </is>
      </c>
      <c r="JC3" s="84" t="inlineStr">
        <is>
          <t>RR09_TIPSF</t>
        </is>
      </c>
      <c r="JD3" s="84" t="inlineStr">
        <is>
          <t>RR09_LCPct</t>
        </is>
      </c>
      <c r="JE3" s="84" t="inlineStr">
        <is>
          <t>RR09_FreeRentMo</t>
        </is>
      </c>
      <c r="JF3" s="84" t="inlineStr">
        <is>
          <t>RR09_FreeStart</t>
        </is>
      </c>
      <c r="JG3" s="84" t="inlineStr">
        <is>
          <t>RR09_Abatement</t>
        </is>
      </c>
      <c r="JH3" s="84" t="inlineStr">
        <is>
          <t>RR10_Name</t>
        </is>
      </c>
      <c r="JI3" s="84" t="inlineStr">
        <is>
          <t>RR10_SF</t>
        </is>
      </c>
      <c r="JJ3" s="84" t="inlineStr">
        <is>
          <t>RR10_StartMo</t>
        </is>
      </c>
      <c r="JK3" s="84" t="inlineStr">
        <is>
          <t>RR10_LCD</t>
        </is>
      </c>
      <c r="JL3" s="84" t="inlineStr">
        <is>
          <t>RR10_Term</t>
        </is>
      </c>
      <c r="JM3" s="84" t="inlineStr">
        <is>
          <t>RR10_RentPSF</t>
        </is>
      </c>
      <c r="JN3" s="84" t="inlineStr">
        <is>
          <t>RR10_RentType</t>
        </is>
      </c>
      <c r="JO3" s="84" t="inlineStr">
        <is>
          <t>RR10_Escal</t>
        </is>
      </c>
      <c r="JP3" s="84" t="inlineStr">
        <is>
          <t>RR10_TIPSF</t>
        </is>
      </c>
      <c r="JQ3" s="84" t="inlineStr">
        <is>
          <t>RR10_LCPct</t>
        </is>
      </c>
      <c r="JR3" s="84" t="inlineStr">
        <is>
          <t>RR10_FreeRentMo</t>
        </is>
      </c>
      <c r="JS3" s="84" t="inlineStr">
        <is>
          <t>RR10_FreeStart</t>
        </is>
      </c>
      <c r="JT3" s="84" t="inlineStr">
        <is>
          <t>RR10_Abatement</t>
        </is>
      </c>
      <c r="JU3" s="84" t="inlineStr">
        <is>
          <t>RR11_Name</t>
        </is>
      </c>
      <c r="JV3" s="84" t="inlineStr">
        <is>
          <t>RR11_SF</t>
        </is>
      </c>
      <c r="JW3" s="84" t="inlineStr">
        <is>
          <t>RR11_StartMo</t>
        </is>
      </c>
      <c r="JX3" s="84" t="inlineStr">
        <is>
          <t>RR11_LCD</t>
        </is>
      </c>
      <c r="JY3" s="84" t="inlineStr">
        <is>
          <t>RR11_Term</t>
        </is>
      </c>
      <c r="JZ3" s="84" t="inlineStr">
        <is>
          <t>RR11_RentPSF</t>
        </is>
      </c>
      <c r="KA3" s="84" t="inlineStr">
        <is>
          <t>RR11_RentType</t>
        </is>
      </c>
      <c r="KB3" s="84" t="inlineStr">
        <is>
          <t>RR11_Escal</t>
        </is>
      </c>
      <c r="KC3" s="84" t="inlineStr">
        <is>
          <t>RR11_TIPSF</t>
        </is>
      </c>
      <c r="KD3" s="84" t="inlineStr">
        <is>
          <t>RR11_LCPct</t>
        </is>
      </c>
      <c r="KE3" s="84" t="inlineStr">
        <is>
          <t>RR11_FreeRentMo</t>
        </is>
      </c>
      <c r="KF3" s="84" t="inlineStr">
        <is>
          <t>RR11_FreeStart</t>
        </is>
      </c>
      <c r="KG3" s="84" t="inlineStr">
        <is>
          <t>RR11_Abatement</t>
        </is>
      </c>
      <c r="KH3" s="84" t="inlineStr">
        <is>
          <t>RR12_Name</t>
        </is>
      </c>
      <c r="KI3" s="84" t="inlineStr">
        <is>
          <t>RR12_SF</t>
        </is>
      </c>
      <c r="KJ3" s="84" t="inlineStr">
        <is>
          <t>RR12_StartMo</t>
        </is>
      </c>
      <c r="KK3" s="84" t="inlineStr">
        <is>
          <t>RR12_LCD</t>
        </is>
      </c>
      <c r="KL3" s="84" t="inlineStr">
        <is>
          <t>RR12_Term</t>
        </is>
      </c>
      <c r="KM3" s="84" t="inlineStr">
        <is>
          <t>RR12_RentPSF</t>
        </is>
      </c>
      <c r="KN3" s="84" t="inlineStr">
        <is>
          <t>RR12_RentType</t>
        </is>
      </c>
      <c r="KO3" s="84" t="inlineStr">
        <is>
          <t>RR12_Escal</t>
        </is>
      </c>
      <c r="KP3" s="84" t="inlineStr">
        <is>
          <t>RR12_TIPSF</t>
        </is>
      </c>
      <c r="KQ3" s="84" t="inlineStr">
        <is>
          <t>RR12_LCPct</t>
        </is>
      </c>
      <c r="KR3" s="84" t="inlineStr">
        <is>
          <t>RR12_FreeRentMo</t>
        </is>
      </c>
      <c r="KS3" s="84" t="inlineStr">
        <is>
          <t>RR12_FreeStart</t>
        </is>
      </c>
      <c r="KT3" s="84" t="inlineStr">
        <is>
          <t>RR12_Abatement</t>
        </is>
      </c>
      <c r="KU3" s="84" t="inlineStr">
        <is>
          <t>RR13_Name</t>
        </is>
      </c>
      <c r="KV3" s="84" t="inlineStr">
        <is>
          <t>RR13_SF</t>
        </is>
      </c>
      <c r="KW3" s="84" t="inlineStr">
        <is>
          <t>RR13_StartMo</t>
        </is>
      </c>
      <c r="KX3" s="84" t="inlineStr">
        <is>
          <t>RR13_LCD</t>
        </is>
      </c>
      <c r="KY3" s="84" t="inlineStr">
        <is>
          <t>RR13_Term</t>
        </is>
      </c>
      <c r="KZ3" s="84" t="inlineStr">
        <is>
          <t>RR13_RentPSF</t>
        </is>
      </c>
      <c r="LA3" s="84" t="inlineStr">
        <is>
          <t>RR13_RentType</t>
        </is>
      </c>
      <c r="LB3" s="84" t="inlineStr">
        <is>
          <t>RR13_Escal</t>
        </is>
      </c>
      <c r="LC3" s="84" t="inlineStr">
        <is>
          <t>RR13_TIPSF</t>
        </is>
      </c>
      <c r="LD3" s="84" t="inlineStr">
        <is>
          <t>RR13_LCPct</t>
        </is>
      </c>
      <c r="LE3" s="84" t="inlineStr">
        <is>
          <t>RR13_FreeRentMo</t>
        </is>
      </c>
      <c r="LF3" s="84" t="inlineStr">
        <is>
          <t>RR13_FreeStart</t>
        </is>
      </c>
      <c r="LG3" s="84" t="inlineStr">
        <is>
          <t>RR13_Abatement</t>
        </is>
      </c>
      <c r="LH3" s="84" t="inlineStr">
        <is>
          <t>RR14_Name</t>
        </is>
      </c>
      <c r="LI3" s="84" t="inlineStr">
        <is>
          <t>RR14_SF</t>
        </is>
      </c>
      <c r="LJ3" s="84" t="inlineStr">
        <is>
          <t>RR14_StartMo</t>
        </is>
      </c>
      <c r="LK3" s="84" t="inlineStr">
        <is>
          <t>RR14_LCD</t>
        </is>
      </c>
      <c r="LL3" s="84" t="inlineStr">
        <is>
          <t>RR14_Term</t>
        </is>
      </c>
      <c r="LM3" s="84" t="inlineStr">
        <is>
          <t>RR14_RentPSF</t>
        </is>
      </c>
      <c r="LN3" s="84" t="inlineStr">
        <is>
          <t>RR14_RentType</t>
        </is>
      </c>
      <c r="LO3" s="84" t="inlineStr">
        <is>
          <t>RR14_Escal</t>
        </is>
      </c>
      <c r="LP3" s="84" t="inlineStr">
        <is>
          <t>RR14_TIPSF</t>
        </is>
      </c>
      <c r="LQ3" s="84" t="inlineStr">
        <is>
          <t>RR14_LCPct</t>
        </is>
      </c>
      <c r="LR3" s="84" t="inlineStr">
        <is>
          <t>RR14_FreeRentMo</t>
        </is>
      </c>
      <c r="LS3" s="84" t="inlineStr">
        <is>
          <t>RR14_FreeStart</t>
        </is>
      </c>
      <c r="LT3" s="84" t="inlineStr">
        <is>
          <t>RR14_Abatement</t>
        </is>
      </c>
      <c r="LU3" s="84" t="inlineStr">
        <is>
          <t>RR15_Name</t>
        </is>
      </c>
      <c r="LV3" s="84" t="inlineStr">
        <is>
          <t>RR15_SF</t>
        </is>
      </c>
      <c r="LW3" s="84" t="inlineStr">
        <is>
          <t>RR15_StartMo</t>
        </is>
      </c>
      <c r="LX3" s="84" t="inlineStr">
        <is>
          <t>RR15_LCD</t>
        </is>
      </c>
      <c r="LY3" s="84" t="inlineStr">
        <is>
          <t>RR15_Term</t>
        </is>
      </c>
      <c r="LZ3" s="84" t="inlineStr">
        <is>
          <t>RR15_RentPSF</t>
        </is>
      </c>
      <c r="MA3" s="84" t="inlineStr">
        <is>
          <t>RR15_RentType</t>
        </is>
      </c>
      <c r="MB3" s="84" t="inlineStr">
        <is>
          <t>RR15_Escal</t>
        </is>
      </c>
      <c r="MC3" s="84" t="inlineStr">
        <is>
          <t>RR15_TIPSF</t>
        </is>
      </c>
      <c r="MD3" s="84" t="inlineStr">
        <is>
          <t>RR15_LCPct</t>
        </is>
      </c>
      <c r="ME3" s="84" t="inlineStr">
        <is>
          <t>RR15_FreeRentMo</t>
        </is>
      </c>
      <c r="MF3" s="84" t="inlineStr">
        <is>
          <t>RR15_FreeStart</t>
        </is>
      </c>
      <c r="MG3" s="84" t="inlineStr">
        <is>
          <t>RR15_Abatement</t>
        </is>
      </c>
      <c r="MH3" s="84" t="inlineStr">
        <is>
          <t>Comm_NOIStart</t>
        </is>
      </c>
      <c r="MI3" s="84" t="inlineStr">
        <is>
          <t>GrowthOvr_1_1</t>
        </is>
      </c>
      <c r="MJ3" s="84" t="inlineStr">
        <is>
          <t>GrowthOvr_1_2</t>
        </is>
      </c>
      <c r="MK3" s="84" t="inlineStr">
        <is>
          <t>GrowthOvr_1_3</t>
        </is>
      </c>
      <c r="ML3" s="84" t="inlineStr">
        <is>
          <t>GrowthOvr_1_4</t>
        </is>
      </c>
      <c r="MM3" s="84" t="inlineStr">
        <is>
          <t>GrowthOvr_1_5</t>
        </is>
      </c>
      <c r="MN3" s="84" t="inlineStr">
        <is>
          <t>GrowthOvr_2_1</t>
        </is>
      </c>
      <c r="MO3" s="84" t="inlineStr">
        <is>
          <t>GrowthOvr_2_2</t>
        </is>
      </c>
      <c r="MP3" s="84" t="inlineStr">
        <is>
          <t>GrowthOvr_2_3</t>
        </is>
      </c>
      <c r="MQ3" s="84" t="inlineStr">
        <is>
          <t>GrowthOvr_2_4</t>
        </is>
      </c>
      <c r="MR3" s="84" t="inlineStr">
        <is>
          <t>GrowthOvr_2_5</t>
        </is>
      </c>
      <c r="MS3" s="84" t="inlineStr">
        <is>
          <t>GrowthOvr_3_1</t>
        </is>
      </c>
      <c r="MT3" s="84" t="inlineStr">
        <is>
          <t>GrowthOvr_3_2</t>
        </is>
      </c>
      <c r="MU3" s="84" t="inlineStr">
        <is>
          <t>GrowthOvr_3_3</t>
        </is>
      </c>
      <c r="MV3" s="84" t="inlineStr">
        <is>
          <t>GrowthOvr_3_4</t>
        </is>
      </c>
      <c r="MW3" s="84" t="inlineStr">
        <is>
          <t>GrowthOvr_3_5</t>
        </is>
      </c>
      <c r="MX3" s="84" t="inlineStr">
        <is>
          <t>GrowthOvr_4_1</t>
        </is>
      </c>
      <c r="MY3" s="84" t="inlineStr">
        <is>
          <t>GrowthOvr_4_2</t>
        </is>
      </c>
      <c r="MZ3" s="84" t="inlineStr">
        <is>
          <t>GrowthOvr_4_3</t>
        </is>
      </c>
      <c r="NA3" s="84" t="inlineStr">
        <is>
          <t>GrowthOvr_4_4</t>
        </is>
      </c>
      <c r="NB3" s="84" t="inlineStr">
        <is>
          <t>GrowthOvr_4_5</t>
        </is>
      </c>
      <c r="NC3" s="84" t="inlineStr">
        <is>
          <t>GrowthOvr_5_1</t>
        </is>
      </c>
      <c r="ND3" s="84" t="inlineStr">
        <is>
          <t>GrowthOvr_5_2</t>
        </is>
      </c>
      <c r="NE3" s="84" t="inlineStr">
        <is>
          <t>GrowthOvr_5_3</t>
        </is>
      </c>
      <c r="NF3" s="84" t="inlineStr">
        <is>
          <t>GrowthOvr_5_4</t>
        </is>
      </c>
      <c r="NG3" s="84" t="inlineStr">
        <is>
          <t>GrowthOvr_5_5</t>
        </is>
      </c>
      <c r="NH3" s="84" t="inlineStr">
        <is>
          <t>Bud_Land</t>
        </is>
      </c>
      <c r="NI3" s="84" t="inlineStr">
        <is>
          <t>Bud_Land_Curve</t>
        </is>
      </c>
      <c r="NJ3" s="84" t="inlineStr">
        <is>
          <t>Bud_Shell</t>
        </is>
      </c>
      <c r="NK3" s="84" t="inlineStr">
        <is>
          <t>Bud_Shell_Curve</t>
        </is>
      </c>
      <c r="NL3" s="84" t="inlineStr">
        <is>
          <t>Bud_Sitework</t>
        </is>
      </c>
      <c r="NM3" s="84" t="inlineStr">
        <is>
          <t>Bud_Sitework_Curve</t>
        </is>
      </c>
      <c r="NN3" s="84" t="inlineStr">
        <is>
          <t>Bud_Parking</t>
        </is>
      </c>
      <c r="NO3" s="84" t="inlineStr">
        <is>
          <t>Bud_Parking_Curve</t>
        </is>
      </c>
      <c r="NP3" s="84" t="inlineStr">
        <is>
          <t>Bud_FFE</t>
        </is>
      </c>
      <c r="NQ3" s="84" t="inlineStr">
        <is>
          <t>Bud_FFE_Curve</t>
        </is>
      </c>
      <c r="NR3" s="84" t="inlineStr">
        <is>
          <t>Bud_GCFee</t>
        </is>
      </c>
      <c r="NS3" s="84" t="inlineStr">
        <is>
          <t>Bud_GCFee_Curve</t>
        </is>
      </c>
      <c r="NT3" s="84" t="inlineStr">
        <is>
          <t>Bud_HardContPct</t>
        </is>
      </c>
      <c r="NU3" s="84" t="inlineStr">
        <is>
          <t>Bud_AE</t>
        </is>
      </c>
      <c r="NV3" s="84" t="inlineStr">
        <is>
          <t>Bud_AE_Curve</t>
        </is>
      </c>
      <c r="NW3" s="84" t="inlineStr">
        <is>
          <t>Bud_Permits</t>
        </is>
      </c>
      <c r="NX3" s="84" t="inlineStr">
        <is>
          <t>Bud_Permits_Curve</t>
        </is>
      </c>
      <c r="NY3" s="84" t="inlineStr">
        <is>
          <t>Bud_Legal</t>
        </is>
      </c>
      <c r="NZ3" s="84" t="inlineStr">
        <is>
          <t>Bud_Legal_Curve</t>
        </is>
      </c>
      <c r="OA3" s="84" t="inlineStr">
        <is>
          <t>Bud_Mktg</t>
        </is>
      </c>
      <c r="OB3" s="84" t="inlineStr">
        <is>
          <t>Bud_Mktg_Curve</t>
        </is>
      </c>
      <c r="OC3" s="84" t="inlineStr">
        <is>
          <t>Bud_DevFee</t>
        </is>
      </c>
      <c r="OD3" s="84" t="inlineStr">
        <is>
          <t>Bud_DevFee_Curve</t>
        </is>
      </c>
      <c r="OE3" s="84" t="inlineStr">
        <is>
          <t>Bud_TaxInsConst</t>
        </is>
      </c>
      <c r="OF3" s="84" t="inlineStr">
        <is>
          <t>Bud_TaxInsConst_Curve</t>
        </is>
      </c>
      <c r="OG3" s="84" t="inlineStr">
        <is>
          <t>Bud_SoftContPct</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2026-06-23T06:17:01Z</dcterms:created>
  <dcterms:modified xsi:type="dcterms:W3CDTF">2026-06-23T06:17:01Z</dcterms:modified>
</cp:coreProperties>
</file>