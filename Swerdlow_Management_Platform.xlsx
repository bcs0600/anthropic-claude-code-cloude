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ckpit" sheetId="2" state="visible" r:id="rId2"/>
    <sheet xmlns:r="http://schemas.openxmlformats.org/officeDocument/2006/relationships" name="Master Assumptions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Portfolio Dashboard" sheetId="5" state="visible" r:id="rId5"/>
    <sheet xmlns:r="http://schemas.openxmlformats.org/officeDocument/2006/relationships" name="Project Dashboard" sheetId="6" state="visible" r:id="rId6"/>
    <sheet xmlns:r="http://schemas.openxmlformats.org/officeDocument/2006/relationships" name="Monthly CF" sheetId="7" state="visible" r:id="rId7"/>
    <sheet xmlns:r="http://schemas.openxmlformats.org/officeDocument/2006/relationships" name="Lists" sheetId="8" state="hidden" r:id="rId8"/>
    <sheet xmlns:r="http://schemas.openxmlformats.org/officeDocument/2006/relationships" name="Archive" sheetId="9" state="hidden" r:id="rId9"/>
  </sheets>
  <definedNames>
    <definedName name="Project_List">'Lists'!$A$2:$A$101</definedName>
    <definedName name="Status_List">'Lists'!$B$2:$B$3</definedName>
    <definedName name="UnitType_List">'Lists'!$C$2:$C$5</definedName>
    <definedName name="RentBasis_List">'Lists'!$D$2:$D$6</definedName>
    <definedName name="YesNo_List">'Lists'!$E$2:$E$3</definedName>
    <definedName name="RentType_List">'Lists'!$F$2:$F$3</definedName>
    <definedName name="CostCurve_List">'Lists'!$G$2:$G$5</definedName>
    <definedName name="Growth_Defaults">'Master Assumptions'!$B$5:$F$9</definedName>
    <definedName name="Growth_Rows">'Master Assumptions'!$A$5:$A$9</definedName>
    <definedName name="SelectedProject">'Cockpit'!$C$5</definedName>
    <definedName name="Console_Notes">'Cockpit'!$C$7</definedName>
    <definedName name="Closing_Date_Cell">'Cockpit'!$D$17</definedName>
    <definedName name="GSF_Cell">'Cockpit'!$D$18</definedName>
    <definedName name="NSF_Cell">'Cockpit'!$D$19</definedName>
    <definedName name="HasComm_Cell">'Cockpit'!$D$26</definedName>
    <definedName name="CommSF_Cell">'Cockpit'!$D$27</definedName>
    <definedName name="CommPSF_Cell">'Cockpit'!$D$28</definedName>
    <definedName name="CommVac_Cell">'Cockpit'!$D$31</definedName>
    <definedName name="CommOpEx_Cell">'Cockpit'!$D$32</definedName>
    <definedName name="CommNOI_In">'Cockpit'!$E$33</definedName>
    <definedName name="CommNOI_Cur">'Cockpit'!$J$33</definedName>
    <definedName name="Units_Total">'Cockpit'!$C$40</definedName>
    <definedName name="Units_Total_Cur">'Cockpit'!$H$40</definedName>
    <definedName name="Blended_PUPM">'Cockpit'!$E$40</definedName>
    <definedName name="Blended_PUPM_Cur">'Cockpit'!$J$40</definedName>
    <definedName name="AvgSF_In">'Cockpit'!$D$40</definedName>
    <definedName name="GPR_In">'Cockpit'!$E$42</definedName>
    <definedName name="GPR_Cur">'Cockpit'!$J$42</definedName>
    <definedName name="ERR_In">'Cockpit'!$E$47</definedName>
    <definedName name="ERR_Cur">'Cockpit'!$J$47</definedName>
    <definedName name="OtherInc_In">'Cockpit'!$E$55</definedName>
    <definedName name="OtherInc_Cur">'Cockpit'!$J$55</definedName>
    <definedName name="EGR_In">'Cockpit'!$E$57</definedName>
    <definedName name="EGR_Cur">'Cockpit'!$J$57</definedName>
    <definedName name="TotOpEx_In">'Cockpit'!$E$70</definedName>
    <definedName name="TotOpEx_Cur">'Cockpit'!$J$70</definedName>
    <definedName name="NOI_In">'Cockpit'!$E$73</definedName>
    <definedName name="NOI_Cur">'Cockpit'!$J$73</definedName>
    <definedName name="OpExRatio_In">'Cockpit'!$E$74</definedName>
    <definedName name="TDC_In">'Cockpit'!$E$90</definedName>
    <definedName name="TDC_Cur">'Cockpit'!$J$90</definedName>
    <definedName name="MaxRecordsPerProject">'Database'!$B$2</definedName>
    <definedName name="SelectedProjectDash">'Project Dashboard'!$B$3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;(#,##0);&quot;-&quot;"/>
    <numFmt numFmtId="166" formatCode="mm/dd/yyyy"/>
    <numFmt numFmtId="167" formatCode="yyyy-mm-dd"/>
    <numFmt numFmtId="168" formatCode="$#,##0.00;($#,##0.00);&quot;-&quot;"/>
    <numFmt numFmtId="169" formatCode="$#,##0;($#,##0);&quot;-&quot;"/>
  </numFmts>
  <fonts count="29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1F3864"/>
      <sz val="13"/>
    </font>
    <font>
      <name val="Arial"/>
      <i val="1"/>
      <color rgb="00806000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2"/>
    </font>
    <font>
      <name val="Arial"/>
      <i val="1"/>
      <color rgb="00806000"/>
      <sz val="8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color rgb="00008000"/>
      <sz val="10"/>
    </font>
    <font>
      <name val="Arial"/>
      <color rgb="00008000"/>
      <sz val="10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FFFFFF"/>
      <sz val="8"/>
    </font>
    <font>
      <name val="Arial"/>
      <color rgb="00C00000"/>
      <sz val="9"/>
    </font>
    <font>
      <name val="Arial"/>
      <b val="1"/>
      <color rgb="00FFFFFF"/>
      <sz val="8"/>
    </font>
    <font>
      <name val="Arial"/>
      <sz val="8"/>
    </font>
    <font>
      <name val="Arial"/>
      <color rgb="00008000"/>
      <sz val="9"/>
    </font>
    <font>
      <name val="Arial"/>
      <b val="1"/>
      <color rgb="00C00000"/>
      <sz val="13"/>
    </font>
    <font>
      <name val="Arial"/>
      <color rgb="00008000"/>
      <sz val="8"/>
    </font>
    <font>
      <name val="Arial"/>
      <b val="1"/>
      <color rgb="001F3864"/>
      <sz val="15"/>
    </font>
    <font>
      <name val="Arial"/>
      <color rgb="00000000"/>
      <sz val="9"/>
    </font>
    <font>
      <name val="Arial"/>
      <b val="1"/>
      <color rgb="001F3864"/>
      <sz val="12"/>
    </font>
    <font>
      <name val="Arial"/>
      <b val="1"/>
      <color rgb="00C00000"/>
      <sz val="12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6F1FB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25" fillId="0" borderId="0" applyAlignment="1" pivotButton="0" quotePrefix="0" xfId="0">
      <alignment vertical="top" wrapText="1"/>
    </xf>
    <xf numFmtId="0" fontId="26" fillId="0" borderId="0" applyAlignment="1" pivotButton="0" quotePrefix="0" xfId="0">
      <alignment vertical="top" wrapText="1"/>
    </xf>
    <xf numFmtId="0" fontId="2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8" fillId="0" borderId="0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9" fillId="0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49" fontId="7" fillId="3" borderId="1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/>
    </xf>
    <xf numFmtId="49" fontId="13" fillId="6" borderId="1" applyAlignment="1" pivotButton="0" quotePrefix="0" xfId="0">
      <alignment horizontal="left" vertical="center"/>
    </xf>
    <xf numFmtId="165" fontId="13" fillId="6" borderId="1" applyAlignment="1" pivotButton="0" quotePrefix="0" xfId="0">
      <alignment horizontal="left" vertical="center"/>
    </xf>
    <xf numFmtId="166" fontId="13" fillId="6" borderId="1" applyAlignment="1" pivotButton="0" quotePrefix="0" xfId="0">
      <alignment horizontal="left" vertical="center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4" fillId="7" borderId="0" applyAlignment="1" pivotButton="0" quotePrefix="0" xfId="0">
      <alignment vertical="center"/>
    </xf>
    <xf numFmtId="0" fontId="14" fillId="7" borderId="0" pivotButton="0" quotePrefix="0" xfId="0"/>
    <xf numFmtId="0" fontId="15" fillId="8" borderId="1" applyAlignment="1" pivotButton="0" quotePrefix="0" xfId="0">
      <alignment horizontal="center" vertical="center" wrapText="1"/>
    </xf>
    <xf numFmtId="165" fontId="16" fillId="8" borderId="1" applyAlignment="1" pivotButton="0" quotePrefix="0" xfId="0">
      <alignment horizontal="center" vertical="center"/>
    </xf>
    <xf numFmtId="169" fontId="16" fillId="8" borderId="1" applyAlignment="1" pivotButton="0" quotePrefix="0" xfId="0">
      <alignment horizontal="center" vertical="center"/>
    </xf>
    <xf numFmtId="164" fontId="16" fillId="8" borderId="1" applyAlignment="1" pivotButton="0" quotePrefix="0" xfId="0">
      <alignment horizontal="center" vertical="center"/>
    </xf>
    <xf numFmtId="0" fontId="17" fillId="7" borderId="0" applyAlignment="1" pivotButton="0" quotePrefix="0" xfId="0">
      <alignment vertical="center"/>
    </xf>
    <xf numFmtId="0" fontId="0" fillId="7" borderId="0" pivotButton="0" quotePrefix="0" xfId="0"/>
    <xf numFmtId="0" fontId="18" fillId="7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165" fontId="7" fillId="3" borderId="1" applyAlignment="1" applyProtection="1" pivotButton="0" quotePrefix="0" xfId="0">
      <alignment horizontal="right" vertical="center"/>
      <protection locked="0" hidden="0"/>
    </xf>
    <xf numFmtId="0" fontId="13" fillId="0" borderId="0" applyAlignment="1" pivotButton="0" quotePrefix="0" xfId="0">
      <alignment horizontal="left" vertical="center" indent="1"/>
    </xf>
    <xf numFmtId="165" fontId="13" fillId="6" borderId="1" applyAlignment="1" pivotButton="0" quotePrefix="0" xfId="0">
      <alignment horizontal="right" vertical="center"/>
    </xf>
    <xf numFmtId="49" fontId="7" fillId="3" borderId="1" applyAlignment="1" applyProtection="1" pivotButton="0" quotePrefix="0" xfId="0">
      <alignment horizontal="right" vertical="center"/>
      <protection locked="0" hidden="0"/>
    </xf>
    <xf numFmtId="0" fontId="19" fillId="0" borderId="0" applyAlignment="1" pivotButton="0" quotePrefix="0" xfId="0">
      <alignment horizontal="center" vertical="center"/>
    </xf>
    <xf numFmtId="49" fontId="13" fillId="6" borderId="1" applyAlignment="1" pivotButton="0" quotePrefix="0" xfId="0">
      <alignment horizontal="right" vertical="center"/>
    </xf>
    <xf numFmtId="2" fontId="7" fillId="3" borderId="1" applyAlignment="1" applyProtection="1" pivotButton="0" quotePrefix="0" xfId="0">
      <alignment horizontal="right" vertical="center"/>
      <protection locked="0" hidden="0"/>
    </xf>
    <xf numFmtId="2" fontId="13" fillId="6" borderId="1" applyAlignment="1" pivotButton="0" quotePrefix="0" xfId="0">
      <alignment horizontal="right" vertical="center"/>
    </xf>
    <xf numFmtId="166" fontId="7" fillId="3" borderId="1" applyAlignment="1" applyProtection="1" pivotButton="0" quotePrefix="0" xfId="0">
      <alignment horizontal="right" vertical="center"/>
      <protection locked="0" hidden="0"/>
    </xf>
    <xf numFmtId="166" fontId="13" fillId="6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8" fontId="7" fillId="3" borderId="1" applyAlignment="1" applyProtection="1" pivotButton="0" quotePrefix="0" xfId="0">
      <alignment horizontal="right" vertical="center"/>
      <protection locked="0" hidden="0"/>
    </xf>
    <xf numFmtId="168" fontId="13" fillId="6" borderId="1" applyAlignment="1" pivotButton="0" quotePrefix="0" xfId="0">
      <alignment horizontal="right" vertical="center"/>
    </xf>
    <xf numFmtId="164" fontId="7" fillId="3" borderId="1" applyAlignment="1" applyProtection="1" pivotButton="0" quotePrefix="0" xfId="0">
      <alignment horizontal="right" vertical="center"/>
      <protection locked="0" hidden="0"/>
    </xf>
    <xf numFmtId="164" fontId="13" fillId="6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1"/>
    </xf>
    <xf numFmtId="169" fontId="5" fillId="0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indent="1"/>
    </xf>
    <xf numFmtId="169" fontId="12" fillId="0" borderId="1" applyAlignment="1" pivotButton="0" quotePrefix="0" xfId="0">
      <alignment horizontal="right" vertical="center"/>
    </xf>
    <xf numFmtId="0" fontId="15" fillId="2" borderId="1" applyAlignment="1" pivotButton="0" quotePrefix="0" xfId="0">
      <alignment horizontal="center" vertical="center"/>
    </xf>
    <xf numFmtId="0" fontId="7" fillId="3" borderId="1" applyAlignment="1" applyProtection="1" pivotButton="0" quotePrefix="0" xfId="0">
      <alignment horizontal="left" vertical="center"/>
      <protection locked="0" hidden="0"/>
    </xf>
    <xf numFmtId="169" fontId="7" fillId="3" borderId="1" applyAlignment="1" applyProtection="1" pivotButton="0" quotePrefix="0" xfId="0">
      <alignment horizontal="right" vertical="center"/>
      <protection locked="0" hidden="0"/>
    </xf>
    <xf numFmtId="0" fontId="13" fillId="0" borderId="0" applyAlignment="1" pivotButton="0" quotePrefix="0" xfId="0">
      <alignment horizontal="left" vertical="center"/>
    </xf>
    <xf numFmtId="169" fontId="13" fillId="6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left" vertical="center"/>
    </xf>
    <xf numFmtId="165" fontId="12" fillId="0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169" fontId="13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5" fontId="7" fillId="3" borderId="1" applyAlignment="1" applyProtection="1" pivotButton="0" quotePrefix="0" xfId="0">
      <alignment horizontal="left" vertical="center"/>
      <protection locked="0" hidden="0"/>
    </xf>
    <xf numFmtId="0" fontId="20" fillId="7" borderId="1" applyAlignment="1" pivotButton="0" quotePrefix="0" xfId="0">
      <alignment horizontal="center" vertical="center"/>
    </xf>
    <xf numFmtId="0" fontId="21" fillId="0" borderId="0" pivotButton="0" quotePrefix="0" xfId="0"/>
    <xf numFmtId="167" fontId="21" fillId="0" borderId="0" pivotButton="0" quotePrefix="0" xfId="0"/>
    <xf numFmtId="0" fontId="14" fillId="7" borderId="1" applyAlignment="1" pivotButton="0" quotePrefix="0" xfId="0">
      <alignment horizontal="center" vertical="center"/>
    </xf>
    <xf numFmtId="49" fontId="22" fillId="0" borderId="1" applyAlignment="1" pivotButton="0" quotePrefix="0" xfId="0">
      <alignment horizontal="left" vertical="center"/>
    </xf>
    <xf numFmtId="165" fontId="22" fillId="0" borderId="1" applyAlignment="1" pivotButton="0" quotePrefix="0" xfId="0">
      <alignment horizontal="right" vertical="center"/>
    </xf>
    <xf numFmtId="169" fontId="22" fillId="0" borderId="1" applyAlignment="1" pivotButton="0" quotePrefix="0" xfId="0">
      <alignment horizontal="right" vertical="center"/>
    </xf>
    <xf numFmtId="165" fontId="5" fillId="2" borderId="1" applyAlignment="1" pivotButton="0" quotePrefix="0" xfId="0">
      <alignment horizontal="right" vertical="center"/>
    </xf>
    <xf numFmtId="0" fontId="10" fillId="7" borderId="0" applyAlignment="1" pivotButton="0" quotePrefix="0" xfId="0">
      <alignment vertical="center"/>
    </xf>
    <xf numFmtId="0" fontId="10" fillId="7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17" fontId="2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0" fillId="7" borderId="0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 ht="18" customHeight="1">
      <c r="A1" s="1" t="inlineStr">
        <is>
          <t>Swerdlow Multi-Phase Asset Management &amp; Underwriting Platform</t>
        </is>
      </c>
    </row>
    <row r="2" ht="8" customHeight="1">
      <c r="A2" s="2" t="inlineStr"/>
    </row>
    <row r="3" ht="18" customHeight="1">
      <c r="A3" s="3" t="inlineStr">
        <is>
          <t>THE LOOP</t>
        </is>
      </c>
    </row>
    <row r="4" ht="30" customHeight="1">
      <c r="A4" s="4" t="inlineStr">
        <is>
          <t>Pick a PROJECT (single selector, top of the Console) -&gt; the GREEN 'Current' column shows the latest assumptions published to the database -&gt; edit the BLUE input fields -&gt; click PUBLISH. Publish validates, writes the blue values to the database as a new 'Current' record (prior Current -&gt; Historical), and the green values refresh.</t>
        </is>
      </c>
    </row>
    <row r="5" ht="8" customHeight="1">
      <c r="A5" s="2" t="inlineStr"/>
    </row>
    <row r="6" ht="18" customHeight="1">
      <c r="A6" s="3" t="inlineStr">
        <is>
          <t>ONE TAB FOR ALL INPUTS</t>
        </is>
      </c>
    </row>
    <row r="7" ht="30" customHeight="1">
      <c r="A7" s="4" t="inlineStr">
        <is>
          <t>Every assumption lives on the Cockpit (Management Console) tab, laid out as a blue [INPUT] block (cols B-E) beside a green [Current] block (cols G-J) that mirrors the database. Black = calculated. The database is the single source of truth.</t>
        </is>
      </c>
    </row>
    <row r="8" ht="8" customHeight="1">
      <c r="A8" s="2" t="inlineStr"/>
    </row>
    <row r="9" ht="18" customHeight="1">
      <c r="A9" s="3" t="inlineStr">
        <is>
          <t>TABS</t>
        </is>
      </c>
    </row>
    <row r="10" ht="30" customHeight="1">
      <c r="A10" s="4" t="inlineStr">
        <is>
          <t>Read me | Cockpit (console) | Master Assumptions | Database | Portfolio Dashboard | Project Dashboard | Monthly CF.  Hidden: Lists, Archive.</t>
        </is>
      </c>
    </row>
    <row r="11" ht="8" customHeight="1">
      <c r="A11" s="2" t="inlineStr"/>
    </row>
    <row r="12" ht="18" customHeight="1">
      <c r="A12" s="5" t="inlineStr">
        <is>
          <t>** ENABLING THE MACROS (.xlsx -&gt; .xlsm) **</t>
        </is>
      </c>
    </row>
    <row r="13" ht="30" customHeight="1">
      <c r="A13" s="4" t="inlineStr">
        <is>
          <t>Pure-Python tooling cannot author Excel's compiled VBA, so the macros ship as .bas files in ./vba. To enable:</t>
        </is>
      </c>
    </row>
    <row r="14" ht="18" customHeight="1">
      <c r="A14" s="4" t="inlineStr">
        <is>
          <t xml:space="preserve">  1. Open in Excel -&gt; Save As -&gt; Excel Macro-Enabled Workbook (.xlsm).</t>
        </is>
      </c>
    </row>
    <row r="15" ht="18" customHeight="1">
      <c r="A15" s="4" t="inlineStr">
        <is>
          <t xml:space="preserve">  2. Alt+F11 -&gt; File &gt; Import File... -&gt; import each .bas in ./vba.</t>
        </is>
      </c>
    </row>
    <row r="16" ht="30" customHeight="1">
      <c r="A16" s="4" t="inlineStr">
        <is>
          <t xml:space="preserve">  3. Assign Publish_Project to the red PUBLISH ASSUMPTIONS button, and Add_Project / Request_Support to their buttons.</t>
        </is>
      </c>
    </row>
    <row r="17" ht="18" customHeight="1">
      <c r="A17" s="4" t="inlineStr">
        <is>
          <t xml:space="preserve">  4. Set CALENDLY_URL in Module3_Support.</t>
        </is>
      </c>
    </row>
    <row r="18" ht="8" customHeight="1">
      <c r="A18" s="2" t="inlineStr"/>
    </row>
    <row r="19" ht="18" customHeight="1">
      <c r="A19" s="3" t="inlineStr">
        <is>
          <t>VERSION CONTROL</t>
        </is>
      </c>
    </row>
    <row r="20" ht="30" customHeight="1">
      <c r="A20" s="4" t="inlineStr">
        <is>
          <t>Each Publish appends a record with User, Timestamp, Notes, and Status. Latest = Current; prior records for that project become Historical. FIFO cap (MaxRecordsPerProject, default 20) archives the oldest record per project to the hidden Archive tab (auditable).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B2:J9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3" customWidth="1" min="3" max="3"/>
    <col width="13" customWidth="1" min="4" max="4"/>
    <col width="13" customWidth="1" min="5" max="5"/>
    <col width="3" customWidth="1" min="6" max="6"/>
    <col width="26" customWidth="1" min="7" max="7"/>
    <col width="13" customWidth="1" min="8" max="8"/>
    <col width="13" customWidth="1" min="9" max="9"/>
    <col width="13" customWidth="1" min="10" max="10"/>
    <col width="16" customWidth="1" min="11" max="11"/>
  </cols>
  <sheetData>
    <row r="2">
      <c r="B2" s="6" t="inlineStr">
        <is>
          <t>PUBLISH ASSUMPTIONS</t>
        </is>
      </c>
      <c r="C2" s="7" t="n"/>
      <c r="D2" s="8" t="inlineStr">
        <is>
          <t>&lt;- assign Publish_Project macro (placeholder button)</t>
        </is>
      </c>
      <c r="H2" s="9" t="inlineStr">
        <is>
          <t>Add Project</t>
        </is>
      </c>
      <c r="J2" s="9" t="inlineStr">
        <is>
          <t>Request Support</t>
        </is>
      </c>
    </row>
    <row r="4">
      <c r="B4" s="10" t="inlineStr">
        <is>
          <t>MANAGEMENT CONSOLE</t>
        </is>
      </c>
      <c r="G4" s="11" t="inlineStr">
        <is>
          <t>CURRENT (latest published in database)</t>
        </is>
      </c>
    </row>
    <row r="5">
      <c r="B5" s="12" t="inlineStr">
        <is>
          <t>Project</t>
        </is>
      </c>
      <c r="C5" s="13" t="inlineStr">
        <is>
          <t>RAD 1</t>
        </is>
      </c>
      <c r="G5" s="14" t="inlineStr">
        <is>
          <t>Last published by</t>
        </is>
      </c>
      <c r="H5" s="15">
        <f>IFERROR(INDEX(Database!$E:$E,MATCH(MAXIFS(Database!$A:$A,Database!$B:$B,SelectedProject),Database!$A:$A,0)),"(none)")</f>
        <v/>
      </c>
    </row>
    <row r="6">
      <c r="B6" s="14" t="inlineStr">
        <is>
          <t>Record #</t>
        </is>
      </c>
      <c r="C6" s="16">
        <f>IFERROR(MAXIFS(Database!$A:$A,Database!$B:$B,SelectedProject),0)</f>
        <v/>
      </c>
      <c r="G6" s="14" t="inlineStr">
        <is>
          <t>Published on</t>
        </is>
      </c>
      <c r="H6" s="17">
        <f>IFERROR(INDEX(Database!$D:$D,MATCH(MAXIFS(Database!$A:$A,Database!$B:$B,SelectedProject),Database!$A:$A,0)),"-")</f>
        <v/>
      </c>
    </row>
    <row r="7">
      <c r="B7" s="14" t="inlineStr">
        <is>
          <t>Notes (saved on Publish)</t>
        </is>
      </c>
      <c r="C7" s="13" t="inlineStr"/>
      <c r="D7" s="18" t="n"/>
      <c r="E7" s="19" t="n"/>
    </row>
    <row r="9">
      <c r="B9" s="20" t="inlineStr">
        <is>
          <t>KPIs (from working inputs)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</row>
    <row r="10" ht="26" customHeight="1">
      <c r="B10" s="22" t="inlineStr">
        <is>
          <t>Total Units</t>
        </is>
      </c>
      <c r="C10" s="22" t="inlineStr">
        <is>
          <t>Total NSF</t>
        </is>
      </c>
      <c r="D10" s="22" t="inlineStr">
        <is>
          <t>EGR</t>
        </is>
      </c>
      <c r="E10" s="22" t="inlineStr">
        <is>
          <t>NOI</t>
        </is>
      </c>
      <c r="F10" s="22" t="inlineStr">
        <is>
          <t>OpEx Ratio</t>
        </is>
      </c>
      <c r="G10" s="22" t="inlineStr">
        <is>
          <t>NOI/Unit</t>
        </is>
      </c>
      <c r="H10" s="22" t="inlineStr">
        <is>
          <t>Total Dev Cost</t>
        </is>
      </c>
      <c r="I10" s="22" t="inlineStr">
        <is>
          <t>Cost/Unit</t>
        </is>
      </c>
      <c r="J10" s="22" t="inlineStr">
        <is>
          <t>Yield on Cost</t>
        </is>
      </c>
    </row>
    <row r="11">
      <c r="B11" s="23">
        <f>Units_Total</f>
        <v/>
      </c>
      <c r="C11" s="23">
        <f>NSF_Cell</f>
        <v/>
      </c>
      <c r="D11" s="24">
        <f>EGR_In</f>
        <v/>
      </c>
      <c r="E11" s="24">
        <f>NOI_In</f>
        <v/>
      </c>
      <c r="F11" s="25">
        <f>OpExRatio_In</f>
        <v/>
      </c>
      <c r="G11" s="24">
        <f>IFERROR(NOI_In/Units_Total,0)</f>
        <v/>
      </c>
      <c r="H11" s="24">
        <f>TDC_In</f>
        <v/>
      </c>
      <c r="I11" s="24">
        <f>IFERROR(TDC_In/Units_Total,0)</f>
        <v/>
      </c>
      <c r="J11" s="25">
        <f>IFERROR(NOI_In/TDC_In,0)</f>
        <v/>
      </c>
    </row>
    <row r="13">
      <c r="B13" s="26" t="inlineStr">
        <is>
          <t>General Inputs</t>
        </is>
      </c>
      <c r="C13" s="27" t="n"/>
      <c r="D13" s="27" t="n"/>
      <c r="E13" s="27" t="n"/>
      <c r="F13" s="27" t="n"/>
      <c r="G13" s="28" t="inlineStr">
        <is>
          <t>Input  |  Current -&gt;</t>
        </is>
      </c>
      <c r="H13" s="27" t="n"/>
      <c r="I13" s="27" t="n"/>
      <c r="J13" s="27" t="n"/>
    </row>
    <row r="14" outlineLevel="1">
      <c r="B14" s="29" t="inlineStr">
        <is>
          <t>Phase No.</t>
        </is>
      </c>
      <c r="D14" s="30" t="n">
        <v>3</v>
      </c>
      <c r="G14" s="31" t="inlineStr">
        <is>
          <t>Phase No.</t>
        </is>
      </c>
      <c r="I14" s="32">
        <f>IFERROR(INDEX(Database!$G:$G,MATCH(MAXIFS(Database!$A:$A,Database!$B:$B,SelectedProject),Database!$A:$A,0)),"-")</f>
        <v/>
      </c>
    </row>
    <row r="15" outlineLevel="1">
      <c r="B15" s="29" t="inlineStr">
        <is>
          <t>Project Name</t>
        </is>
      </c>
      <c r="D15" s="33" t="inlineStr">
        <is>
          <t>RAD 1</t>
        </is>
      </c>
      <c r="F15" s="34">
        <f>IF(D15="","!","")</f>
        <v/>
      </c>
      <c r="G15" s="31" t="inlineStr">
        <is>
          <t>Project Name</t>
        </is>
      </c>
      <c r="I15" s="35">
        <f>IFERROR(INDEX(Database!$H:$H,MATCH(MAXIFS(Database!$A:$A,Database!$B:$B,SelectedProject),Database!$A:$A,0)),"-")</f>
        <v/>
      </c>
    </row>
    <row r="16" outlineLevel="1">
      <c r="B16" s="29" t="inlineStr">
        <is>
          <t>Land Size (Acres)</t>
        </is>
      </c>
      <c r="D16" s="36" t="n">
        <v>2</v>
      </c>
      <c r="G16" s="31" t="inlineStr">
        <is>
          <t>Land Size (Acres)</t>
        </is>
      </c>
      <c r="I16" s="37">
        <f>IFERROR(INDEX(Database!$I:$I,MATCH(MAXIFS(Database!$A:$A,Database!$B:$B,SelectedProject),Database!$A:$A,0)),"-")</f>
        <v/>
      </c>
    </row>
    <row r="17" outlineLevel="1">
      <c r="B17" s="29" t="inlineStr">
        <is>
          <t>Closing Date</t>
        </is>
      </c>
      <c r="D17" s="38" t="n">
        <v>46204</v>
      </c>
      <c r="F17" s="34">
        <f>IF(N(D17)=0,"!","")</f>
        <v/>
      </c>
      <c r="G17" s="31" t="inlineStr">
        <is>
          <t>Closing Date</t>
        </is>
      </c>
      <c r="I17" s="39">
        <f>IFERROR(INDEX(Database!$J:$J,MATCH(MAXIFS(Database!$A:$A,Database!$B:$B,SelectedProject),Database!$A:$A,0)),"-")</f>
        <v/>
      </c>
    </row>
    <row r="18" outlineLevel="1">
      <c r="B18" s="29" t="inlineStr">
        <is>
          <t>Gross Building Area (GSF)</t>
        </is>
      </c>
      <c r="D18" s="30" t="n">
        <v>240000</v>
      </c>
      <c r="F18" s="34">
        <f>IF(N(D18)=0,"!","")</f>
        <v/>
      </c>
      <c r="G18" s="31" t="inlineStr">
        <is>
          <t>Gross Building Area (GSF)</t>
        </is>
      </c>
      <c r="I18" s="32">
        <f>IFERROR(INDEX(Database!$K:$K,MATCH(MAXIFS(Database!$A:$A,Database!$B:$B,SelectedProject),Database!$A:$A,0)),"-")</f>
        <v/>
      </c>
    </row>
    <row r="19" outlineLevel="1">
      <c r="B19" s="29" t="inlineStr">
        <is>
          <t>Net Rentable Area (NSF)</t>
        </is>
      </c>
      <c r="D19" s="30" t="n">
        <v>200000</v>
      </c>
      <c r="G19" s="31" t="inlineStr">
        <is>
          <t>Net Rentable Area (NSF)</t>
        </is>
      </c>
      <c r="I19" s="32">
        <f>IFERROR(INDEX(Database!$L:$L,MATCH(MAXIFS(Database!$A:$A,Database!$B:$B,SelectedProject),Database!$A:$A,0)),"-")</f>
        <v/>
      </c>
    </row>
    <row r="20">
      <c r="B20" s="26" t="inlineStr">
        <is>
          <t>Key Dates</t>
        </is>
      </c>
      <c r="C20" s="27" t="n"/>
      <c r="D20" s="27" t="n"/>
      <c r="E20" s="27" t="n"/>
      <c r="F20" s="27" t="n"/>
      <c r="G20" s="28" t="inlineStr">
        <is>
          <t>Input  |  Current -&gt;</t>
        </is>
      </c>
      <c r="H20" s="27" t="n"/>
      <c r="I20" s="27" t="n"/>
      <c r="J20" s="27" t="n"/>
    </row>
    <row r="21" outlineLevel="1">
      <c r="B21" s="29" t="inlineStr">
        <is>
          <t>Construction Start (month offset)</t>
        </is>
      </c>
      <c r="D21" s="30" t="n">
        <v>2</v>
      </c>
      <c r="E21" s="40">
        <f>EDATE(Closing_Date_Cell,D21)</f>
        <v/>
      </c>
      <c r="G21" s="31" t="inlineStr">
        <is>
          <t>Construction Start</t>
        </is>
      </c>
      <c r="I21" s="32">
        <f>IFERROR(INDEX(Database!$M:$M,MATCH(MAXIFS(Database!$A:$A,Database!$B:$B,SelectedProject),Database!$A:$A,0)),"-")</f>
        <v/>
      </c>
      <c r="J21" s="39">
        <f>IFERROR(EDATE(Closing_Date_Cell,I21),"-")</f>
        <v/>
      </c>
    </row>
    <row r="22" outlineLevel="1">
      <c r="B22" s="29" t="inlineStr">
        <is>
          <t>Initial Occupancy (month offset)</t>
        </is>
      </c>
      <c r="D22" s="30" t="n">
        <v>14</v>
      </c>
      <c r="E22" s="40">
        <f>EDATE(Closing_Date_Cell,D22)</f>
        <v/>
      </c>
      <c r="G22" s="31" t="inlineStr">
        <is>
          <t>Initial Occupancy</t>
        </is>
      </c>
      <c r="I22" s="32">
        <f>IFERROR(INDEX(Database!$N:$N,MATCH(MAXIFS(Database!$A:$A,Database!$B:$B,SelectedProject),Database!$A:$A,0)),"-")</f>
        <v/>
      </c>
      <c r="J22" s="39">
        <f>IFERROR(EDATE(Closing_Date_Cell,I22),"-")</f>
        <v/>
      </c>
    </row>
    <row r="23" outlineLevel="1">
      <c r="B23" s="29" t="inlineStr">
        <is>
          <t>Construction End (month offset)</t>
        </is>
      </c>
      <c r="D23" s="30" t="n">
        <v>20</v>
      </c>
      <c r="E23" s="40">
        <f>EDATE(Closing_Date_Cell,D23)</f>
        <v/>
      </c>
      <c r="G23" s="31" t="inlineStr">
        <is>
          <t>Construction End</t>
        </is>
      </c>
      <c r="I23" s="32">
        <f>IFERROR(INDEX(Database!$O:$O,MATCH(MAXIFS(Database!$A:$A,Database!$B:$B,SelectedProject),Database!$A:$A,0)),"-")</f>
        <v/>
      </c>
      <c r="J23" s="39">
        <f>IFERROR(EDATE(Closing_Date_Cell,I23),"-")</f>
        <v/>
      </c>
    </row>
    <row r="24" outlineLevel="1">
      <c r="B24" s="29" t="inlineStr">
        <is>
          <t>Stabilization (month offset)</t>
        </is>
      </c>
      <c r="D24" s="30" t="n">
        <v>30</v>
      </c>
      <c r="E24" s="40">
        <f>EDATE(Closing_Date_Cell,D24)</f>
        <v/>
      </c>
      <c r="G24" s="31" t="inlineStr">
        <is>
          <t>Stabilization</t>
        </is>
      </c>
      <c r="I24" s="32">
        <f>IFERROR(INDEX(Database!$P:$P,MATCH(MAXIFS(Database!$A:$A,Database!$B:$B,SelectedProject),Database!$A:$A,0)),"-")</f>
        <v/>
      </c>
      <c r="J24" s="39">
        <f>IFERROR(EDATE(Closing_Date_Cell,I24),"-")</f>
        <v/>
      </c>
    </row>
    <row r="25">
      <c r="B25" s="26" t="inlineStr">
        <is>
          <t>Commercial Assumptions</t>
        </is>
      </c>
      <c r="C25" s="27" t="n"/>
      <c r="D25" s="27" t="n"/>
      <c r="E25" s="27" t="n"/>
      <c r="F25" s="27" t="n"/>
      <c r="G25" s="28" t="inlineStr">
        <is>
          <t>Input  |  Current -&gt;</t>
        </is>
      </c>
      <c r="H25" s="27" t="n"/>
      <c r="I25" s="27" t="n"/>
      <c r="J25" s="27" t="n"/>
    </row>
    <row r="26" outlineLevel="1">
      <c r="B26" s="29" t="inlineStr">
        <is>
          <t>Has Commercial?</t>
        </is>
      </c>
      <c r="D26" s="33" t="inlineStr">
        <is>
          <t>No</t>
        </is>
      </c>
      <c r="G26" s="31" t="inlineStr">
        <is>
          <t>Has Commercial?</t>
        </is>
      </c>
      <c r="I26" s="35">
        <f>IFERROR(INDEX(Database!$Q:$Q,MATCH(MAXIFS(Database!$A:$A,Database!$B:$B,SelectedProject),Database!$A:$A,0)),"-")</f>
        <v/>
      </c>
    </row>
    <row r="27" outlineLevel="1">
      <c r="B27" s="29" t="inlineStr">
        <is>
          <t>Commercial Leasable SF</t>
        </is>
      </c>
      <c r="D27" s="30" t="n">
        <v>0</v>
      </c>
      <c r="G27" s="31" t="inlineStr">
        <is>
          <t>Commercial Leasable SF</t>
        </is>
      </c>
      <c r="I27" s="32">
        <f>IFERROR(INDEX(Database!$R:$R,MATCH(MAXIFS(Database!$A:$A,Database!$B:$B,SelectedProject),Database!$A:$A,0)),"-")</f>
        <v/>
      </c>
    </row>
    <row r="28" outlineLevel="1">
      <c r="B28" s="29" t="inlineStr">
        <is>
          <t>Annual Rent PSF</t>
        </is>
      </c>
      <c r="D28" s="41" t="n">
        <v>30</v>
      </c>
      <c r="G28" s="31" t="inlineStr">
        <is>
          <t>Annual Rent PSF</t>
        </is>
      </c>
      <c r="I28" s="42">
        <f>IFERROR(INDEX(Database!$S:$S,MATCH(MAXIFS(Database!$A:$A,Database!$B:$B,SelectedProject),Database!$A:$A,0)),"-")</f>
        <v/>
      </c>
    </row>
    <row r="29" outlineLevel="1">
      <c r="B29" s="29" t="inlineStr">
        <is>
          <t>Escalation</t>
        </is>
      </c>
      <c r="D29" s="43" t="n">
        <v>0.03</v>
      </c>
      <c r="G29" s="31" t="inlineStr">
        <is>
          <t>Escalation</t>
        </is>
      </c>
      <c r="I29" s="44">
        <f>IFERROR(INDEX(Database!$T:$T,MATCH(MAXIFS(Database!$A:$A,Database!$B:$B,SelectedProject),Database!$A:$A,0)),"-")</f>
        <v/>
      </c>
    </row>
    <row r="30" outlineLevel="1">
      <c r="B30" s="29" t="inlineStr">
        <is>
          <t>Abatement (months)</t>
        </is>
      </c>
      <c r="D30" s="30" t="n">
        <v>0</v>
      </c>
      <c r="G30" s="31" t="inlineStr">
        <is>
          <t>Abatement (months)</t>
        </is>
      </c>
      <c r="I30" s="32">
        <f>IFERROR(INDEX(Database!$U:$U,MATCH(MAXIFS(Database!$A:$A,Database!$B:$B,SelectedProject),Database!$A:$A,0)),"-")</f>
        <v/>
      </c>
    </row>
    <row r="31" outlineLevel="1">
      <c r="B31" s="29" t="inlineStr">
        <is>
          <t>General Vacancy %</t>
        </is>
      </c>
      <c r="D31" s="43" t="n">
        <v>0.07000000000000001</v>
      </c>
      <c r="G31" s="31" t="inlineStr">
        <is>
          <t>General Vacancy %</t>
        </is>
      </c>
      <c r="I31" s="44">
        <f>IFERROR(INDEX(Database!$V:$V,MATCH(MAXIFS(Database!$A:$A,Database!$B:$B,SelectedProject),Database!$A:$A,0)),"-")</f>
        <v/>
      </c>
    </row>
    <row r="32" outlineLevel="1">
      <c r="B32" s="29" t="inlineStr">
        <is>
          <t>Operating Expenses $/SF</t>
        </is>
      </c>
      <c r="D32" s="41" t="n">
        <v>6.75</v>
      </c>
      <c r="G32" s="31" t="inlineStr">
        <is>
          <t>Operating Expenses $/SF</t>
        </is>
      </c>
      <c r="I32" s="42">
        <f>IFERROR(INDEX(Database!$W:$W,MATCH(MAXIFS(Database!$A:$A,Database!$B:$B,SelectedProject),Database!$A:$A,0)),"-")</f>
        <v/>
      </c>
    </row>
    <row r="33" outlineLevel="1">
      <c r="B33" s="45" t="inlineStr">
        <is>
          <t>Stabilized Commercial NOI</t>
        </is>
      </c>
      <c r="E33" s="46">
        <f>IF(HasComm_Cell="Yes",CommSF_Cell*CommPSF_Cell*(1-CommVac_Cell)-CommSF_Cell*CommOpEx_Cell,0)</f>
        <v/>
      </c>
      <c r="G33" s="47" t="inlineStr">
        <is>
          <t>Stabilized Commercial NOI</t>
        </is>
      </c>
      <c r="J33" s="48">
        <f>IFERROR(IF(INDEX(Database!$Q:$Q,MATCH(MAXIFS(Database!$A:$A,Database!$B:$B,SelectedProject),Database!$A:$A,0))="Yes",INDEX(Database!$R:$R,MATCH(MAXIFS(Database!$A:$A,Database!$B:$B,SelectedProject),Database!$A:$A,0))*INDEX(Database!$S:$S,MATCH(MAXIFS(Database!$A:$A,Database!$B:$B,SelectedProject),Database!$A:$A,0))*(1-INDEX(Database!$V:$V,MATCH(MAXIFS(Database!$A:$A,Database!$B:$B,SelectedProject),Database!$A:$A,0)))-INDEX(Database!$R:$R,MATCH(MAXIFS(Database!$A:$A,Database!$B:$B,SelectedProject),Database!$A:$A,0))*INDEX(Database!$W:$W,MATCH(MAXIFS(Database!$A:$A,Database!$B:$B,SelectedProject),Database!$A:$A,0)),0),0)</f>
        <v/>
      </c>
    </row>
    <row r="34">
      <c r="B34" s="26" t="inlineStr">
        <is>
          <t>Multifamily - Unit Mix &amp; Rental Revenue (Exhibit A/C)</t>
        </is>
      </c>
      <c r="C34" s="27" t="n"/>
      <c r="D34" s="27" t="n"/>
      <c r="E34" s="27" t="n"/>
      <c r="F34" s="27" t="n"/>
      <c r="G34" s="28" t="inlineStr">
        <is>
          <t>Input  |  Current -&gt;</t>
        </is>
      </c>
      <c r="H34" s="27" t="n"/>
      <c r="I34" s="27" t="n"/>
      <c r="J34" s="27" t="n"/>
    </row>
    <row r="35" outlineLevel="1">
      <c r="B35" s="49" t="inlineStr">
        <is>
          <t>Unit Type</t>
        </is>
      </c>
      <c r="C35" s="49" t="inlineStr">
        <is>
          <t>Count</t>
        </is>
      </c>
      <c r="D35" s="49" t="inlineStr">
        <is>
          <t>Avg SF</t>
        </is>
      </c>
      <c r="E35" s="49" t="inlineStr">
        <is>
          <t>$ PUPM</t>
        </is>
      </c>
      <c r="G35" s="49" t="inlineStr">
        <is>
          <t>Unit Type</t>
        </is>
      </c>
      <c r="H35" s="49" t="inlineStr">
        <is>
          <t>Count</t>
        </is>
      </c>
      <c r="I35" s="49" t="inlineStr">
        <is>
          <t>Avg SF</t>
        </is>
      </c>
      <c r="J35" s="49" t="inlineStr">
        <is>
          <t>$ PUPM</t>
        </is>
      </c>
    </row>
    <row r="36" outlineLevel="1">
      <c r="B36" s="50" t="inlineStr">
        <is>
          <t>Studio</t>
        </is>
      </c>
      <c r="C36" s="30" t="n">
        <v>1</v>
      </c>
      <c r="D36" s="30" t="n">
        <v>2000</v>
      </c>
      <c r="E36" s="51" t="n">
        <v>2000</v>
      </c>
      <c r="G36" s="52" t="inlineStr">
        <is>
          <t>Studio</t>
        </is>
      </c>
      <c r="H36" s="32">
        <f>IFERROR(INDEX(Database!$Y:$Y,MATCH(MAXIFS(Database!$A:$A,Database!$B:$B,SelectedProject),Database!$A:$A,0)),"-")</f>
        <v/>
      </c>
      <c r="I36" s="32">
        <f>IFERROR(INDEX(Database!$Z:$Z,MATCH(MAXIFS(Database!$A:$A,Database!$B:$B,SelectedProject),Database!$A:$A,0)),"-")</f>
        <v/>
      </c>
      <c r="J36" s="53">
        <f>IFERROR(INDEX(Database!$AA:$AA,MATCH(MAXIFS(Database!$A:$A,Database!$B:$B,SelectedProject),Database!$A:$A,0)),"-")</f>
        <v/>
      </c>
    </row>
    <row r="37" outlineLevel="1">
      <c r="B37" s="50" t="inlineStr">
        <is>
          <t>1 Bedroom</t>
        </is>
      </c>
      <c r="C37" s="30" t="n">
        <v>1</v>
      </c>
      <c r="D37" s="30" t="n">
        <v>2000</v>
      </c>
      <c r="E37" s="51" t="n">
        <v>1500</v>
      </c>
      <c r="G37" s="52" t="inlineStr">
        <is>
          <t>1 Bedroom</t>
        </is>
      </c>
      <c r="H37" s="32">
        <f>IFERROR(INDEX(Database!$AC:$AC,MATCH(MAXIFS(Database!$A:$A,Database!$B:$B,SelectedProject),Database!$A:$A,0)),"-")</f>
        <v/>
      </c>
      <c r="I37" s="32">
        <f>IFERROR(INDEX(Database!$AD:$AD,MATCH(MAXIFS(Database!$A:$A,Database!$B:$B,SelectedProject),Database!$A:$A,0)),"-")</f>
        <v/>
      </c>
      <c r="J37" s="53">
        <f>IFERROR(INDEX(Database!$AE:$AE,MATCH(MAXIFS(Database!$A:$A,Database!$B:$B,SelectedProject),Database!$A:$A,0)),"-")</f>
        <v/>
      </c>
    </row>
    <row r="38" outlineLevel="1">
      <c r="B38" s="50" t="inlineStr">
        <is>
          <t>2 Bedroom</t>
        </is>
      </c>
      <c r="C38" s="30" t="n">
        <v>1</v>
      </c>
      <c r="D38" s="30" t="n">
        <v>2000</v>
      </c>
      <c r="E38" s="51" t="n">
        <v>1000</v>
      </c>
      <c r="G38" s="52" t="inlineStr">
        <is>
          <t>2 Bedroom</t>
        </is>
      </c>
      <c r="H38" s="32">
        <f>IFERROR(INDEX(Database!$AG:$AG,MATCH(MAXIFS(Database!$A:$A,Database!$B:$B,SelectedProject),Database!$A:$A,0)),"-")</f>
        <v/>
      </c>
      <c r="I38" s="32">
        <f>IFERROR(INDEX(Database!$AH:$AH,MATCH(MAXIFS(Database!$A:$A,Database!$B:$B,SelectedProject),Database!$A:$A,0)),"-")</f>
        <v/>
      </c>
      <c r="J38" s="53">
        <f>IFERROR(INDEX(Database!$AI:$AI,MATCH(MAXIFS(Database!$A:$A,Database!$B:$B,SelectedProject),Database!$A:$A,0)),"-")</f>
        <v/>
      </c>
    </row>
    <row r="39" outlineLevel="1">
      <c r="B39" s="50" t="inlineStr">
        <is>
          <t>3 Bedroom</t>
        </is>
      </c>
      <c r="C39" s="30" t="n">
        <v>1</v>
      </c>
      <c r="D39" s="30" t="n">
        <v>2000</v>
      </c>
      <c r="E39" s="51" t="n">
        <v>1000</v>
      </c>
      <c r="G39" s="52" t="inlineStr">
        <is>
          <t>3 Bedroom</t>
        </is>
      </c>
      <c r="H39" s="32">
        <f>IFERROR(INDEX(Database!$AK:$AK,MATCH(MAXIFS(Database!$A:$A,Database!$B:$B,SelectedProject),Database!$A:$A,0)),"-")</f>
        <v/>
      </c>
      <c r="I39" s="32">
        <f>IFERROR(INDEX(Database!$AL:$AL,MATCH(MAXIFS(Database!$A:$A,Database!$B:$B,SelectedProject),Database!$A:$A,0)),"-")</f>
        <v/>
      </c>
      <c r="J39" s="53">
        <f>IFERROR(INDEX(Database!$AM:$AM,MATCH(MAXIFS(Database!$A:$A,Database!$B:$B,SelectedProject),Database!$A:$A,0)),"-")</f>
        <v/>
      </c>
    </row>
    <row r="40" outlineLevel="1">
      <c r="B40" s="54" t="inlineStr">
        <is>
          <t>Total / Blended</t>
        </is>
      </c>
      <c r="C40" s="55">
        <f>SUM(C36:C39)</f>
        <v/>
      </c>
      <c r="D40" s="55">
        <f>IFERROR(SUMPRODUCT(D36:D39,C36:C39)/C40,0)</f>
        <v/>
      </c>
      <c r="E40" s="46">
        <f>IFERROR(SUMPRODUCT(E36:E39,C36:C39)/C40,0)</f>
        <v/>
      </c>
      <c r="G40" s="56" t="inlineStr">
        <is>
          <t>Total / Blended</t>
        </is>
      </c>
      <c r="H40" s="57">
        <f>SUM(H36:H39)</f>
        <v/>
      </c>
      <c r="I40" s="57">
        <f>IFERROR(SUMPRODUCT(I36:I39,H36:H39)/H40,0)</f>
        <v/>
      </c>
      <c r="J40" s="48">
        <f>IFERROR(SUMPRODUCT(J36:J39,H36:H39)/H40,0)</f>
        <v/>
      </c>
    </row>
    <row r="41" outlineLevel="1"/>
    <row r="42" outlineLevel="1">
      <c r="B42" s="45" t="inlineStr">
        <is>
          <t>Gross Potential Rent</t>
        </is>
      </c>
      <c r="E42" s="46">
        <f>Blended_PUPM*Units_Total*12</f>
        <v/>
      </c>
      <c r="G42" s="47" t="inlineStr">
        <is>
          <t>Gross Potential Rent</t>
        </is>
      </c>
      <c r="J42" s="48">
        <f>Blended_PUPM_Cur*Units_Total_Cur*12</f>
        <v/>
      </c>
    </row>
    <row r="43" outlineLevel="1">
      <c r="B43" s="29" t="inlineStr">
        <is>
          <t>Vacancy</t>
        </is>
      </c>
      <c r="D43" s="43" t="n">
        <v>0.05</v>
      </c>
      <c r="E43" s="58">
        <f>-GPR_In*D43</f>
        <v/>
      </c>
      <c r="G43" s="31" t="inlineStr">
        <is>
          <t>Vacancy</t>
        </is>
      </c>
      <c r="I43" s="44">
        <f>IFERROR(INDEX(Database!$AN:$AN,MATCH(MAXIFS(Database!$A:$A,Database!$B:$B,SelectedProject),Database!$A:$A,0)),"-")</f>
        <v/>
      </c>
      <c r="J43" s="59">
        <f>-GPR_Cur*I43</f>
        <v/>
      </c>
    </row>
    <row r="44" outlineLevel="1">
      <c r="B44" s="29" t="inlineStr">
        <is>
          <t>Concessions</t>
        </is>
      </c>
      <c r="D44" s="43" t="n">
        <v>0</v>
      </c>
      <c r="E44" s="58">
        <f>-GPR_In*D44</f>
        <v/>
      </c>
      <c r="G44" s="31" t="inlineStr">
        <is>
          <t>Concessions</t>
        </is>
      </c>
      <c r="I44" s="44">
        <f>IFERROR(INDEX(Database!$AO:$AO,MATCH(MAXIFS(Database!$A:$A,Database!$B:$B,SelectedProject),Database!$A:$A,0)),"-")</f>
        <v/>
      </c>
      <c r="J44" s="59">
        <f>-GPR_Cur*I44</f>
        <v/>
      </c>
    </row>
    <row r="45" outlineLevel="1">
      <c r="B45" s="29" t="inlineStr">
        <is>
          <t>Model</t>
        </is>
      </c>
      <c r="D45" s="43" t="n">
        <v>0</v>
      </c>
      <c r="E45" s="58">
        <f>-GPR_In*D45</f>
        <v/>
      </c>
      <c r="G45" s="31" t="inlineStr">
        <is>
          <t>Model</t>
        </is>
      </c>
      <c r="I45" s="44">
        <f>IFERROR(INDEX(Database!$AP:$AP,MATCH(MAXIFS(Database!$A:$A,Database!$B:$B,SelectedProject),Database!$A:$A,0)),"-")</f>
        <v/>
      </c>
      <c r="J45" s="59">
        <f>-GPR_Cur*I45</f>
        <v/>
      </c>
    </row>
    <row r="46" outlineLevel="1">
      <c r="B46" s="29" t="inlineStr">
        <is>
          <t>Collection Loss</t>
        </is>
      </c>
      <c r="D46" s="43" t="n">
        <v>0</v>
      </c>
      <c r="E46" s="58">
        <f>-GPR_In*D46</f>
        <v/>
      </c>
      <c r="G46" s="31" t="inlineStr">
        <is>
          <t>Collection Loss</t>
        </is>
      </c>
      <c r="I46" s="44">
        <f>IFERROR(INDEX(Database!$AQ:$AQ,MATCH(MAXIFS(Database!$A:$A,Database!$B:$B,SelectedProject),Database!$A:$A,0)),"-")</f>
        <v/>
      </c>
      <c r="J46" s="59">
        <f>-GPR_Cur*I46</f>
        <v/>
      </c>
    </row>
    <row r="47" outlineLevel="1">
      <c r="B47" s="45" t="inlineStr">
        <is>
          <t>Effective Rental Revenue</t>
        </is>
      </c>
      <c r="E47" s="46">
        <f>GPR_In+E43+E44+E45+E46</f>
        <v/>
      </c>
      <c r="G47" s="47" t="inlineStr">
        <is>
          <t>Effective Rental Revenue</t>
        </is>
      </c>
      <c r="J47" s="48">
        <f>GPR_Cur+J43+J44+J45+J46</f>
        <v/>
      </c>
    </row>
    <row r="48">
      <c r="B48" s="26" t="inlineStr">
        <is>
          <t>Other Residential Income (Exhibit C)</t>
        </is>
      </c>
      <c r="C48" s="27" t="n"/>
      <c r="D48" s="27" t="n"/>
      <c r="E48" s="27" t="n"/>
      <c r="F48" s="27" t="n"/>
      <c r="G48" s="28" t="inlineStr">
        <is>
          <t>Input  |  Current -&gt;</t>
        </is>
      </c>
      <c r="H48" s="27" t="n"/>
      <c r="I48" s="27" t="n"/>
      <c r="J48" s="27" t="n"/>
    </row>
    <row r="49" outlineLevel="1">
      <c r="B49" s="49" t="inlineStr">
        <is>
          <t>Item</t>
        </is>
      </c>
      <c r="D49" s="49" t="inlineStr">
        <is>
          <t>$ PUPM</t>
        </is>
      </c>
      <c r="E49" s="49" t="inlineStr">
        <is>
          <t>$ Annual</t>
        </is>
      </c>
      <c r="G49" s="49" t="inlineStr">
        <is>
          <t>Item</t>
        </is>
      </c>
      <c r="I49" s="49" t="inlineStr">
        <is>
          <t>$ PUPM</t>
        </is>
      </c>
      <c r="J49" s="49" t="inlineStr">
        <is>
          <t>$ Annual</t>
        </is>
      </c>
    </row>
    <row r="50" outlineLevel="1">
      <c r="B50" s="50" t="inlineStr">
        <is>
          <t>Item 1</t>
        </is>
      </c>
      <c r="D50" s="41" t="n">
        <v>100</v>
      </c>
      <c r="E50" s="58">
        <f>N(D50)*12*Units_Total</f>
        <v/>
      </c>
      <c r="G50" s="52" t="inlineStr">
        <is>
          <t>Item 1</t>
        </is>
      </c>
      <c r="I50" s="42">
        <f>IFERROR(INDEX(Database!$AS:$AS,MATCH(MAXIFS(Database!$A:$A,Database!$B:$B,SelectedProject),Database!$A:$A,0)),"-")</f>
        <v/>
      </c>
      <c r="J50" s="53">
        <f>N(I50)*12*Units_Total_Cur</f>
        <v/>
      </c>
    </row>
    <row r="51" outlineLevel="1">
      <c r="B51" s="50" t="inlineStr">
        <is>
          <t>Item 2</t>
        </is>
      </c>
      <c r="D51" s="41" t="inlineStr"/>
      <c r="E51" s="58">
        <f>N(D51)*12*Units_Total</f>
        <v/>
      </c>
      <c r="G51" s="52" t="inlineStr">
        <is>
          <t>Item 2</t>
        </is>
      </c>
      <c r="I51" s="42">
        <f>IFERROR(INDEX(Database!$AU:$AU,MATCH(MAXIFS(Database!$A:$A,Database!$B:$B,SelectedProject),Database!$A:$A,0)),"-")</f>
        <v/>
      </c>
      <c r="J51" s="53">
        <f>N(I51)*12*Units_Total_Cur</f>
        <v/>
      </c>
    </row>
    <row r="52" outlineLevel="1">
      <c r="B52" s="50" t="inlineStr">
        <is>
          <t>Item 3</t>
        </is>
      </c>
      <c r="D52" s="41" t="inlineStr"/>
      <c r="E52" s="58">
        <f>N(D52)*12*Units_Total</f>
        <v/>
      </c>
      <c r="G52" s="52" t="inlineStr">
        <is>
          <t>Item 3</t>
        </is>
      </c>
      <c r="I52" s="42">
        <f>IFERROR(INDEX(Database!$AW:$AW,MATCH(MAXIFS(Database!$A:$A,Database!$B:$B,SelectedProject),Database!$A:$A,0)),"-")</f>
        <v/>
      </c>
      <c r="J52" s="53">
        <f>N(I52)*12*Units_Total_Cur</f>
        <v/>
      </c>
    </row>
    <row r="53" outlineLevel="1">
      <c r="B53" s="50" t="inlineStr">
        <is>
          <t>Item 4</t>
        </is>
      </c>
      <c r="D53" s="41" t="inlineStr"/>
      <c r="E53" s="58">
        <f>N(D53)*12*Units_Total</f>
        <v/>
      </c>
      <c r="G53" s="52" t="inlineStr">
        <is>
          <t>Item 4</t>
        </is>
      </c>
      <c r="I53" s="42">
        <f>IFERROR(INDEX(Database!$AY:$AY,MATCH(MAXIFS(Database!$A:$A,Database!$B:$B,SelectedProject),Database!$A:$A,0)),"-")</f>
        <v/>
      </c>
      <c r="J53" s="53">
        <f>N(I53)*12*Units_Total_Cur</f>
        <v/>
      </c>
    </row>
    <row r="54" outlineLevel="1">
      <c r="B54" s="50" t="inlineStr">
        <is>
          <t>Item 5</t>
        </is>
      </c>
      <c r="D54" s="41" t="inlineStr"/>
      <c r="E54" s="58">
        <f>N(D54)*12*Units_Total</f>
        <v/>
      </c>
      <c r="G54" s="52" t="inlineStr">
        <is>
          <t>Item 5</t>
        </is>
      </c>
      <c r="I54" s="42">
        <f>IFERROR(INDEX(Database!$BA:$BA,MATCH(MAXIFS(Database!$A:$A,Database!$B:$B,SelectedProject),Database!$A:$A,0)),"-")</f>
        <v/>
      </c>
      <c r="J54" s="53">
        <f>N(I54)*12*Units_Total_Cur</f>
        <v/>
      </c>
    </row>
    <row r="55" outlineLevel="1">
      <c r="B55" s="54" t="inlineStr">
        <is>
          <t>Total Other Income</t>
        </is>
      </c>
      <c r="E55" s="46">
        <f>SUM(E50:E54)</f>
        <v/>
      </c>
      <c r="G55" s="56" t="inlineStr">
        <is>
          <t>Total Other Income</t>
        </is>
      </c>
      <c r="J55" s="48">
        <f>SUM(J50:J54)</f>
        <v/>
      </c>
    </row>
    <row r="56" outlineLevel="1"/>
    <row r="57" outlineLevel="1">
      <c r="B57" s="54" t="inlineStr">
        <is>
          <t>Effective Gross Revenue (EGR)</t>
        </is>
      </c>
      <c r="E57" s="46">
        <f>ERR_In+OtherInc_In</f>
        <v/>
      </c>
      <c r="G57" s="56" t="inlineStr">
        <is>
          <t>Effective Gross Revenue (EGR)</t>
        </is>
      </c>
      <c r="J57" s="48">
        <f>ERR_Cur+OtherInc_Cur</f>
        <v/>
      </c>
    </row>
    <row r="58" outlineLevel="1"/>
    <row r="59">
      <c r="B59" s="26" t="inlineStr">
        <is>
          <t>Multifamily Operating Expenses (Exhibit D)</t>
        </is>
      </c>
      <c r="C59" s="27" t="n"/>
      <c r="D59" s="27" t="n"/>
      <c r="E59" s="27" t="n"/>
      <c r="F59" s="27" t="n"/>
      <c r="G59" s="28" t="inlineStr">
        <is>
          <t>Input  |  Current -&gt;</t>
        </is>
      </c>
      <c r="H59" s="27" t="n"/>
      <c r="I59" s="27" t="n"/>
      <c r="J59" s="27" t="n"/>
    </row>
    <row r="60" outlineLevel="1">
      <c r="B60" s="49" t="inlineStr">
        <is>
          <t>Item</t>
        </is>
      </c>
      <c r="D60" s="49" t="inlineStr">
        <is>
          <t>$ PUPA</t>
        </is>
      </c>
      <c r="E60" s="49" t="inlineStr">
        <is>
          <t>$ Annual</t>
        </is>
      </c>
      <c r="G60" s="49" t="inlineStr">
        <is>
          <t>Item</t>
        </is>
      </c>
      <c r="I60" s="49" t="inlineStr">
        <is>
          <t>$ PUPA</t>
        </is>
      </c>
      <c r="J60" s="49" t="inlineStr">
        <is>
          <t>$ Annual</t>
        </is>
      </c>
    </row>
    <row r="61" outlineLevel="1">
      <c r="B61" s="29" t="inlineStr">
        <is>
          <t>Payroll</t>
        </is>
      </c>
      <c r="D61" s="51" t="n">
        <v>1150</v>
      </c>
      <c r="E61" s="58">
        <f>N(D61)*Units_Total</f>
        <v/>
      </c>
      <c r="G61" s="31" t="inlineStr">
        <is>
          <t>Payroll</t>
        </is>
      </c>
      <c r="I61" s="53">
        <f>IFERROR(INDEX(Database!$BB:$BB,MATCH(MAXIFS(Database!$A:$A,Database!$B:$B,SelectedProject),Database!$A:$A,0)),"-")</f>
        <v/>
      </c>
      <c r="J61" s="59">
        <f>N(I61)*Units_Total_Cur</f>
        <v/>
      </c>
    </row>
    <row r="62" outlineLevel="1">
      <c r="B62" s="29" t="inlineStr">
        <is>
          <t>Marketing</t>
        </is>
      </c>
      <c r="D62" s="51" t="n">
        <v>350</v>
      </c>
      <c r="E62" s="58">
        <f>N(D62)*Units_Total</f>
        <v/>
      </c>
      <c r="G62" s="31" t="inlineStr">
        <is>
          <t>Marketing</t>
        </is>
      </c>
      <c r="I62" s="53">
        <f>IFERROR(INDEX(Database!$BC:$BC,MATCH(MAXIFS(Database!$A:$A,Database!$B:$B,SelectedProject),Database!$A:$A,0)),"-")</f>
        <v/>
      </c>
      <c r="J62" s="59">
        <f>N(I62)*Units_Total_Cur</f>
        <v/>
      </c>
    </row>
    <row r="63" outlineLevel="1">
      <c r="B63" s="29" t="inlineStr">
        <is>
          <t>Administrative</t>
        </is>
      </c>
      <c r="D63" s="51" t="n">
        <v>350</v>
      </c>
      <c r="E63" s="58">
        <f>N(D63)*Units_Total</f>
        <v/>
      </c>
      <c r="G63" s="31" t="inlineStr">
        <is>
          <t>Administrative</t>
        </is>
      </c>
      <c r="I63" s="53">
        <f>IFERROR(INDEX(Database!$BD:$BD,MATCH(MAXIFS(Database!$A:$A,Database!$B:$B,SelectedProject),Database!$A:$A,0)),"-")</f>
        <v/>
      </c>
      <c r="J63" s="59">
        <f>N(I63)*Units_Total_Cur</f>
        <v/>
      </c>
    </row>
    <row r="64" outlineLevel="1">
      <c r="B64" s="29" t="inlineStr">
        <is>
          <t>Professional Fees</t>
        </is>
      </c>
      <c r="D64" s="51" t="n">
        <v>10</v>
      </c>
      <c r="E64" s="58">
        <f>N(D64)*Units_Total</f>
        <v/>
      </c>
      <c r="G64" s="31" t="inlineStr">
        <is>
          <t>Professional Fees</t>
        </is>
      </c>
      <c r="I64" s="53">
        <f>IFERROR(INDEX(Database!$BE:$BE,MATCH(MAXIFS(Database!$A:$A,Database!$B:$B,SelectedProject),Database!$A:$A,0)),"-")</f>
        <v/>
      </c>
      <c r="J64" s="59">
        <f>N(I64)*Units_Total_Cur</f>
        <v/>
      </c>
    </row>
    <row r="65" outlineLevel="1">
      <c r="B65" s="29" t="inlineStr">
        <is>
          <t>Repairs &amp; Maint.</t>
        </is>
      </c>
      <c r="D65" s="51" t="n">
        <v>300</v>
      </c>
      <c r="E65" s="58">
        <f>N(D65)*Units_Total</f>
        <v/>
      </c>
      <c r="G65" s="31" t="inlineStr">
        <is>
          <t>Repairs &amp; Maint.</t>
        </is>
      </c>
      <c r="I65" s="53">
        <f>IFERROR(INDEX(Database!$BF:$BF,MATCH(MAXIFS(Database!$A:$A,Database!$B:$B,SelectedProject),Database!$A:$A,0)),"-")</f>
        <v/>
      </c>
      <c r="J65" s="59">
        <f>N(I65)*Units_Total_Cur</f>
        <v/>
      </c>
    </row>
    <row r="66" outlineLevel="1">
      <c r="B66" s="29" t="inlineStr">
        <is>
          <t>Utilities</t>
        </is>
      </c>
      <c r="D66" s="51" t="n">
        <v>900</v>
      </c>
      <c r="E66" s="58">
        <f>N(D66)*Units_Total</f>
        <v/>
      </c>
      <c r="G66" s="31" t="inlineStr">
        <is>
          <t>Utilities</t>
        </is>
      </c>
      <c r="I66" s="53">
        <f>IFERROR(INDEX(Database!$BG:$BG,MATCH(MAXIFS(Database!$A:$A,Database!$B:$B,SelectedProject),Database!$A:$A,0)),"-")</f>
        <v/>
      </c>
      <c r="J66" s="59">
        <f>N(I66)*Units_Total_Cur</f>
        <v/>
      </c>
    </row>
    <row r="67" outlineLevel="1">
      <c r="B67" s="29" t="inlineStr">
        <is>
          <t>Insurance</t>
        </is>
      </c>
      <c r="D67" s="51" t="n">
        <v>1000</v>
      </c>
      <c r="E67" s="58">
        <f>N(D67)*Units_Total</f>
        <v/>
      </c>
      <c r="G67" s="31" t="inlineStr">
        <is>
          <t>Insurance</t>
        </is>
      </c>
      <c r="I67" s="53">
        <f>IFERROR(INDEX(Database!$BH:$BH,MATCH(MAXIFS(Database!$A:$A,Database!$B:$B,SelectedProject),Database!$A:$A,0)),"-")</f>
        <v/>
      </c>
      <c r="J67" s="59">
        <f>N(I67)*Units_Total_Cur</f>
        <v/>
      </c>
    </row>
    <row r="68" outlineLevel="1">
      <c r="B68" s="29" t="inlineStr">
        <is>
          <t>RE Taxes</t>
        </is>
      </c>
      <c r="D68" s="51" t="n">
        <v>4500</v>
      </c>
      <c r="E68" s="58">
        <f>N(D68)*Units_Total</f>
        <v/>
      </c>
      <c r="G68" s="31" t="inlineStr">
        <is>
          <t>RE Taxes</t>
        </is>
      </c>
      <c r="I68" s="53">
        <f>IFERROR(INDEX(Database!$BI:$BI,MATCH(MAXIFS(Database!$A:$A,Database!$B:$B,SelectedProject),Database!$A:$A,0)),"-")</f>
        <v/>
      </c>
      <c r="J68" s="59">
        <f>N(I68)*Units_Total_Cur</f>
        <v/>
      </c>
    </row>
    <row r="69" outlineLevel="1">
      <c r="B69" s="29" t="inlineStr">
        <is>
          <t>Management Fee (% of EGR)</t>
        </is>
      </c>
      <c r="D69" s="43" t="n">
        <v>0.03</v>
      </c>
      <c r="E69" s="58">
        <f>D69*EGR_In</f>
        <v/>
      </c>
      <c r="G69" s="31" t="inlineStr">
        <is>
          <t>Management Fee (% of EGR)</t>
        </is>
      </c>
      <c r="I69" s="44">
        <f>IFERROR(INDEX(Database!$BJ:$BJ,MATCH(MAXIFS(Database!$A:$A,Database!$B:$B,SelectedProject),Database!$A:$A,0)),"-")</f>
        <v/>
      </c>
      <c r="J69" s="59">
        <f>I69*EGR_Cur</f>
        <v/>
      </c>
    </row>
    <row r="70" outlineLevel="1">
      <c r="B70" s="54" t="inlineStr">
        <is>
          <t>Total Operating Expenses</t>
        </is>
      </c>
      <c r="E70" s="46">
        <f>E61+E62+E63+E64+E65+E66+E67+E68+E69</f>
        <v/>
      </c>
      <c r="G70" s="56" t="inlineStr">
        <is>
          <t>Total Operating Expenses</t>
        </is>
      </c>
      <c r="J70" s="48">
        <f>J61+J62+J63+J64+J65+J66+J67+J68+J69</f>
        <v/>
      </c>
    </row>
    <row r="71" outlineLevel="1"/>
    <row r="72">
      <c r="B72" s="26" t="inlineStr">
        <is>
          <t>Net Operating Income</t>
        </is>
      </c>
      <c r="C72" s="27" t="n"/>
      <c r="D72" s="27" t="n"/>
      <c r="E72" s="27" t="n"/>
      <c r="F72" s="27" t="n"/>
      <c r="G72" s="28" t="inlineStr">
        <is>
          <t>Input  |  Current -&gt;</t>
        </is>
      </c>
      <c r="H72" s="27" t="n"/>
      <c r="I72" s="27" t="n"/>
      <c r="J72" s="27" t="n"/>
    </row>
    <row r="73" outlineLevel="1">
      <c r="B73" s="54" t="inlineStr">
        <is>
          <t>Net Operating Income</t>
        </is>
      </c>
      <c r="E73" s="46">
        <f>EGR_In-TotOpEx_In+CommNOI_In</f>
        <v/>
      </c>
      <c r="G73" s="56" t="inlineStr">
        <is>
          <t>Net Operating Income</t>
        </is>
      </c>
      <c r="J73" s="48">
        <f>EGR_Cur-TotOpEx_Cur+CommNOI_Cur</f>
        <v/>
      </c>
    </row>
    <row r="74" outlineLevel="1">
      <c r="B74" s="14" t="inlineStr">
        <is>
          <t>OpEx Ratio</t>
        </is>
      </c>
      <c r="E74" s="60">
        <f>IFERROR(TotOpEx_In/EGR_In,0)</f>
        <v/>
      </c>
      <c r="G74" s="52" t="inlineStr">
        <is>
          <t>OpEx Ratio</t>
        </is>
      </c>
      <c r="J74" s="61">
        <f>IFERROR(TotOpEx_Cur/EGR_Cur,0)</f>
        <v/>
      </c>
    </row>
    <row r="75" outlineLevel="1"/>
    <row r="76">
      <c r="B76" s="26" t="inlineStr">
        <is>
          <t>Development Budget / Capital Costs</t>
        </is>
      </c>
      <c r="C76" s="27" t="n"/>
      <c r="D76" s="27" t="n"/>
      <c r="E76" s="27" t="n"/>
      <c r="F76" s="27" t="n"/>
      <c r="G76" s="28" t="inlineStr">
        <is>
          <t>Input  |  Current -&gt;</t>
        </is>
      </c>
      <c r="H76" s="27" t="n"/>
      <c r="I76" s="27" t="n"/>
      <c r="J76" s="27" t="n"/>
    </row>
    <row r="77" outlineLevel="1">
      <c r="B77" s="49" t="inlineStr">
        <is>
          <t>Line</t>
        </is>
      </c>
      <c r="D77" s="49" t="inlineStr">
        <is>
          <t>$</t>
        </is>
      </c>
      <c r="E77" s="49" t="inlineStr">
        <is>
          <t>$/Unit</t>
        </is>
      </c>
      <c r="G77" s="49" t="inlineStr">
        <is>
          <t>Line</t>
        </is>
      </c>
      <c r="I77" s="49" t="inlineStr">
        <is>
          <t>$</t>
        </is>
      </c>
      <c r="J77" s="49" t="inlineStr">
        <is>
          <t>$/Unit</t>
        </is>
      </c>
    </row>
    <row r="78" outlineLevel="1">
      <c r="B78" s="29" t="inlineStr">
        <is>
          <t>Land</t>
        </is>
      </c>
      <c r="D78" s="51" t="n">
        <v>8000000</v>
      </c>
      <c r="E78" s="58">
        <f>IFERROR(D78/Units_Total,0)</f>
        <v/>
      </c>
      <c r="G78" s="31" t="inlineStr">
        <is>
          <t>Land</t>
        </is>
      </c>
      <c r="I78" s="53">
        <f>IFERROR(INDEX(Database!$BK:$BK,MATCH(MAXIFS(Database!$A:$A,Database!$B:$B,SelectedProject),Database!$A:$A,0)),"-")</f>
        <v/>
      </c>
      <c r="J78" s="59">
        <f>IFERROR(I78/Units_Total_Cur,0)</f>
        <v/>
      </c>
    </row>
    <row r="79" outlineLevel="1">
      <c r="B79" s="29" t="inlineStr">
        <is>
          <t>Shell / Core</t>
        </is>
      </c>
      <c r="D79" s="51" t="n">
        <v>28000000</v>
      </c>
      <c r="E79" s="58">
        <f>IFERROR(D79/Units_Total,0)</f>
        <v/>
      </c>
      <c r="G79" s="31" t="inlineStr">
        <is>
          <t>Shell / Core</t>
        </is>
      </c>
      <c r="I79" s="53">
        <f>IFERROR(INDEX(Database!$BL:$BL,MATCH(MAXIFS(Database!$A:$A,Database!$B:$B,SelectedProject),Database!$A:$A,0)),"-")</f>
        <v/>
      </c>
      <c r="J79" s="59">
        <f>IFERROR(I79/Units_Total_Cur,0)</f>
        <v/>
      </c>
    </row>
    <row r="80" outlineLevel="1">
      <c r="B80" s="29" t="inlineStr">
        <is>
          <t>Sitework</t>
        </is>
      </c>
      <c r="D80" s="51" t="n">
        <v>4000000</v>
      </c>
      <c r="E80" s="58">
        <f>IFERROR(D80/Units_Total,0)</f>
        <v/>
      </c>
      <c r="G80" s="31" t="inlineStr">
        <is>
          <t>Sitework</t>
        </is>
      </c>
      <c r="I80" s="53">
        <f>IFERROR(INDEX(Database!$BM:$BM,MATCH(MAXIFS(Database!$A:$A,Database!$B:$B,SelectedProject),Database!$A:$A,0)),"-")</f>
        <v/>
      </c>
      <c r="J80" s="59">
        <f>IFERROR(I80/Units_Total_Cur,0)</f>
        <v/>
      </c>
    </row>
    <row r="81" outlineLevel="1">
      <c r="B81" s="29" t="inlineStr">
        <is>
          <t>Parking Structure</t>
        </is>
      </c>
      <c r="D81" s="51" t="n">
        <v>6000000</v>
      </c>
      <c r="E81" s="58">
        <f>IFERROR(D81/Units_Total,0)</f>
        <v/>
      </c>
      <c r="G81" s="31" t="inlineStr">
        <is>
          <t>Parking Structure</t>
        </is>
      </c>
      <c r="I81" s="53">
        <f>IFERROR(INDEX(Database!$BN:$BN,MATCH(MAXIFS(Database!$A:$A,Database!$B:$B,SelectedProject),Database!$A:$A,0)),"-")</f>
        <v/>
      </c>
      <c r="J81" s="59">
        <f>IFERROR(I81/Units_Total_Cur,0)</f>
        <v/>
      </c>
    </row>
    <row r="82" outlineLevel="1">
      <c r="B82" s="29" t="inlineStr">
        <is>
          <t>FF&amp;E</t>
        </is>
      </c>
      <c r="D82" s="51" t="n">
        <v>1500000</v>
      </c>
      <c r="E82" s="58">
        <f>IFERROR(D82/Units_Total,0)</f>
        <v/>
      </c>
      <c r="G82" s="31" t="inlineStr">
        <is>
          <t>FF&amp;E</t>
        </is>
      </c>
      <c r="I82" s="53">
        <f>IFERROR(INDEX(Database!$BO:$BO,MATCH(MAXIFS(Database!$A:$A,Database!$B:$B,SelectedProject),Database!$A:$A,0)),"-")</f>
        <v/>
      </c>
      <c r="J82" s="59">
        <f>IFERROR(I82/Units_Total_Cur,0)</f>
        <v/>
      </c>
    </row>
    <row r="83" outlineLevel="1">
      <c r="B83" s="29" t="inlineStr">
        <is>
          <t>GC Fee</t>
        </is>
      </c>
      <c r="D83" s="51" t="n">
        <v>2000000</v>
      </c>
      <c r="E83" s="58">
        <f>IFERROR(D83/Units_Total,0)</f>
        <v/>
      </c>
      <c r="G83" s="31" t="inlineStr">
        <is>
          <t>GC Fee</t>
        </is>
      </c>
      <c r="I83" s="53">
        <f>IFERROR(INDEX(Database!$BP:$BP,MATCH(MAXIFS(Database!$A:$A,Database!$B:$B,SelectedProject),Database!$A:$A,0)),"-")</f>
        <v/>
      </c>
      <c r="J83" s="59">
        <f>IFERROR(I83/Units_Total_Cur,0)</f>
        <v/>
      </c>
    </row>
    <row r="84" outlineLevel="1">
      <c r="B84" s="29" t="inlineStr">
        <is>
          <t>A&amp;E</t>
        </is>
      </c>
      <c r="D84" s="51" t="n">
        <v>2500000</v>
      </c>
      <c r="E84" s="58">
        <f>IFERROR(D84/Units_Total,0)</f>
        <v/>
      </c>
      <c r="G84" s="31" t="inlineStr">
        <is>
          <t>A&amp;E</t>
        </is>
      </c>
      <c r="I84" s="53">
        <f>IFERROR(INDEX(Database!$BQ:$BQ,MATCH(MAXIFS(Database!$A:$A,Database!$B:$B,SelectedProject),Database!$A:$A,0)),"-")</f>
        <v/>
      </c>
      <c r="J84" s="59">
        <f>IFERROR(I84/Units_Total_Cur,0)</f>
        <v/>
      </c>
    </row>
    <row r="85" outlineLevel="1">
      <c r="B85" s="29" t="inlineStr">
        <is>
          <t>Permits &amp; Impact Fees</t>
        </is>
      </c>
      <c r="D85" s="51" t="n">
        <v>1800000</v>
      </c>
      <c r="E85" s="58">
        <f>IFERROR(D85/Units_Total,0)</f>
        <v/>
      </c>
      <c r="G85" s="31" t="inlineStr">
        <is>
          <t>Permits &amp; Impact Fees</t>
        </is>
      </c>
      <c r="I85" s="53">
        <f>IFERROR(INDEX(Database!$BR:$BR,MATCH(MAXIFS(Database!$A:$A,Database!$B:$B,SelectedProject),Database!$A:$A,0)),"-")</f>
        <v/>
      </c>
      <c r="J85" s="59">
        <f>IFERROR(I85/Units_Total_Cur,0)</f>
        <v/>
      </c>
    </row>
    <row r="86" outlineLevel="1">
      <c r="B86" s="29" t="inlineStr">
        <is>
          <t>Legal</t>
        </is>
      </c>
      <c r="D86" s="51" t="n">
        <v>600000</v>
      </c>
      <c r="E86" s="58">
        <f>IFERROR(D86/Units_Total,0)</f>
        <v/>
      </c>
      <c r="G86" s="31" t="inlineStr">
        <is>
          <t>Legal</t>
        </is>
      </c>
      <c r="I86" s="53">
        <f>IFERROR(INDEX(Database!$BS:$BS,MATCH(MAXIFS(Database!$A:$A,Database!$B:$B,SelectedProject),Database!$A:$A,0)),"-")</f>
        <v/>
      </c>
      <c r="J86" s="59">
        <f>IFERROR(I86/Units_Total_Cur,0)</f>
        <v/>
      </c>
    </row>
    <row r="87" outlineLevel="1">
      <c r="B87" s="29" t="inlineStr">
        <is>
          <t>Marketing / Lease-up</t>
        </is>
      </c>
      <c r="D87" s="51" t="n">
        <v>700000</v>
      </c>
      <c r="E87" s="58">
        <f>IFERROR(D87/Units_Total,0)</f>
        <v/>
      </c>
      <c r="G87" s="31" t="inlineStr">
        <is>
          <t>Marketing / Lease-up</t>
        </is>
      </c>
      <c r="I87" s="53">
        <f>IFERROR(INDEX(Database!$BT:$BT,MATCH(MAXIFS(Database!$A:$A,Database!$B:$B,SelectedProject),Database!$A:$A,0)),"-")</f>
        <v/>
      </c>
      <c r="J87" s="59">
        <f>IFERROR(I87/Units_Total_Cur,0)</f>
        <v/>
      </c>
    </row>
    <row r="88" outlineLevel="1">
      <c r="B88" s="29" t="inlineStr">
        <is>
          <t>Developer Fee</t>
        </is>
      </c>
      <c r="D88" s="51" t="n">
        <v>3000000</v>
      </c>
      <c r="E88" s="58">
        <f>IFERROR(D88/Units_Total,0)</f>
        <v/>
      </c>
      <c r="G88" s="31" t="inlineStr">
        <is>
          <t>Developer Fee</t>
        </is>
      </c>
      <c r="I88" s="53">
        <f>IFERROR(INDEX(Database!$BU:$BU,MATCH(MAXIFS(Database!$A:$A,Database!$B:$B,SelectedProject),Database!$A:$A,0)),"-")</f>
        <v/>
      </c>
      <c r="J88" s="59">
        <f>IFERROR(I88/Units_Total_Cur,0)</f>
        <v/>
      </c>
    </row>
    <row r="89" outlineLevel="1">
      <c r="B89" s="29" t="inlineStr">
        <is>
          <t>Taxes &amp; Insurance (Constr.)</t>
        </is>
      </c>
      <c r="D89" s="51" t="n">
        <v>900000</v>
      </c>
      <c r="E89" s="58">
        <f>IFERROR(D89/Units_Total,0)</f>
        <v/>
      </c>
      <c r="G89" s="31" t="inlineStr">
        <is>
          <t>Taxes &amp; Insurance (Constr.)</t>
        </is>
      </c>
      <c r="I89" s="53">
        <f>IFERROR(INDEX(Database!$BV:$BV,MATCH(MAXIFS(Database!$A:$A,Database!$B:$B,SelectedProject),Database!$A:$A,0)),"-")</f>
        <v/>
      </c>
      <c r="J89" s="59">
        <f>IFERROR(I89/Units_Total_Cur,0)</f>
        <v/>
      </c>
    </row>
    <row r="90" outlineLevel="1">
      <c r="B90" s="54" t="inlineStr">
        <is>
          <t>Total Development Cost</t>
        </is>
      </c>
      <c r="E90" s="46">
        <f>D78+D79+D80+D81+D82+D83+D84+D85+D86+D87+D88+D89</f>
        <v/>
      </c>
      <c r="G90" s="56" t="inlineStr">
        <is>
          <t>Total Development Cost</t>
        </is>
      </c>
      <c r="J90" s="48">
        <f>I78+I79+I80+I81+I82+I83+I84+I85+I86+I87+I88+I89</f>
        <v/>
      </c>
    </row>
    <row r="91" outlineLevel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C7:E7"/>
    <mergeCell ref="B2:C2"/>
  </mergeCells>
  <conditionalFormatting sqref="D15">
    <cfRule type="expression" priority="1" dxfId="0">
      <formula>ISBLANK(D15)</formula>
    </cfRule>
  </conditionalFormatting>
  <conditionalFormatting sqref="D17">
    <cfRule type="expression" priority="2" dxfId="0">
      <formula>ISBLANK(D17)</formula>
    </cfRule>
  </conditionalFormatting>
  <conditionalFormatting sqref="D18">
    <cfRule type="expression" priority="3" dxfId="0">
      <formula>ISBLANK(D18)</formula>
    </cfRule>
  </conditionalFormatting>
  <dataValidations count="6">
    <dataValidation sqref="C5" showDropDown="0" showInputMessage="0" showErrorMessage="0" allowBlank="0" type="list">
      <formula1>=Project_List</formula1>
    </dataValidation>
    <dataValidation sqref="D26" showDropDown="0" showInputMessage="0" showErrorMessage="0" allowBlank="1" type="list">
      <formula1>=YesNo_List</formula1>
    </dataValidation>
    <dataValidation sqref="B36" showDropDown="0" showInputMessage="0" showErrorMessage="0" allowBlank="1" type="list">
      <formula1>=UnitType_List</formula1>
    </dataValidation>
    <dataValidation sqref="B37" showDropDown="0" showInputMessage="0" showErrorMessage="0" allowBlank="1" type="list">
      <formula1>=UnitType_List</formula1>
    </dataValidation>
    <dataValidation sqref="B38" showDropDown="0" showInputMessage="0" showErrorMessage="0" allowBlank="1" type="list">
      <formula1>=UnitType_List</formula1>
    </dataValidation>
    <dataValidation sqref="B39" showDropDown="0" showInputMessage="0" showErrorMessage="0" allowBlank="1" type="list">
      <formula1>=UnitType_List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2" t="inlineStr">
        <is>
          <t>MASTER ASSUMPTIONS  -  program-wide growth defaults (Exhibit E)</t>
        </is>
      </c>
    </row>
    <row r="2">
      <c r="A2" s="63" t="inlineStr">
        <is>
          <t>Per-phase overrides live on the Console. Year 5 = Year 5+.</t>
        </is>
      </c>
    </row>
    <row r="4">
      <c r="A4" s="64" t="inlineStr">
        <is>
          <t>Category</t>
        </is>
      </c>
      <c r="B4" s="65" t="inlineStr">
        <is>
          <t>Year 1</t>
        </is>
      </c>
      <c r="C4" s="65" t="inlineStr">
        <is>
          <t>Year 2</t>
        </is>
      </c>
      <c r="D4" s="65" t="inlineStr">
        <is>
          <t>Year 3</t>
        </is>
      </c>
      <c r="E4" s="65" t="inlineStr">
        <is>
          <t>Year 4</t>
        </is>
      </c>
      <c r="F4" s="65" t="inlineStr">
        <is>
          <t>Year 5</t>
        </is>
      </c>
    </row>
    <row r="5">
      <c r="A5" s="66" t="inlineStr">
        <is>
          <t>Market Rents</t>
        </is>
      </c>
      <c r="B5" s="43" t="n">
        <v>0.03</v>
      </c>
      <c r="C5" s="43" t="n">
        <v>0.03</v>
      </c>
      <c r="D5" s="43" t="n">
        <v>0.03</v>
      </c>
      <c r="E5" s="43" t="n">
        <v>0.03</v>
      </c>
      <c r="F5" s="43" t="n">
        <v>0.03</v>
      </c>
    </row>
    <row r="6">
      <c r="A6" s="66" t="inlineStr">
        <is>
          <t>Affordable Rents</t>
        </is>
      </c>
      <c r="B6" s="43" t="n">
        <v>0.025</v>
      </c>
      <c r="C6" s="43" t="n">
        <v>0.025</v>
      </c>
      <c r="D6" s="43" t="n">
        <v>0.025</v>
      </c>
      <c r="E6" s="43" t="n">
        <v>0.025</v>
      </c>
      <c r="F6" s="43" t="n">
        <v>0.025</v>
      </c>
    </row>
    <row r="7">
      <c r="A7" s="66" t="inlineStr">
        <is>
          <t>Retail Rents</t>
        </is>
      </c>
      <c r="B7" s="43" t="n">
        <v>0.025</v>
      </c>
      <c r="C7" s="43" t="n">
        <v>0.025</v>
      </c>
      <c r="D7" s="43" t="n">
        <v>0.025</v>
      </c>
      <c r="E7" s="43" t="n">
        <v>0.025</v>
      </c>
      <c r="F7" s="43" t="n">
        <v>0.025</v>
      </c>
    </row>
    <row r="8">
      <c r="A8" s="66" t="inlineStr">
        <is>
          <t>Other Income</t>
        </is>
      </c>
      <c r="B8" s="43" t="n">
        <v>0.025</v>
      </c>
      <c r="C8" s="43" t="n">
        <v>0.025</v>
      </c>
      <c r="D8" s="43" t="n">
        <v>0.025</v>
      </c>
      <c r="E8" s="43" t="n">
        <v>0.025</v>
      </c>
      <c r="F8" s="43" t="n">
        <v>0.025</v>
      </c>
    </row>
    <row r="9">
      <c r="A9" s="66" t="inlineStr">
        <is>
          <t>Operating Expenses</t>
        </is>
      </c>
      <c r="B9" s="43" t="n">
        <v>0.03</v>
      </c>
      <c r="C9" s="43" t="n">
        <v>0.03</v>
      </c>
      <c r="D9" s="43" t="n">
        <v>0.03</v>
      </c>
      <c r="E9" s="43" t="n">
        <v>0.03</v>
      </c>
      <c r="F9" s="43" t="n">
        <v>0.03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7"/>
  <sheetViews>
    <sheetView showGridLines="0" workbookViewId="0">
      <selection activeCell="A1" sqref="A1"/>
    </sheetView>
  </sheetViews>
  <sheetFormatPr baseColWidth="8" defaultRowHeight="15"/>
  <cols>
    <col width="8" customWidth="1" min="1" max="1"/>
  </cols>
  <sheetData>
    <row r="1">
      <c r="A1" s="67" t="inlineStr">
        <is>
          <t>DATABASE  -  relational system of record (one row = one published record). Do not edit by hand.</t>
        </is>
      </c>
    </row>
    <row r="2">
      <c r="A2" s="14" t="inlineStr">
        <is>
          <t>MaxRecordsPerProject</t>
        </is>
      </c>
      <c r="B2" s="68" t="n">
        <v>20</v>
      </c>
      <c r="C2" s="8" t="inlineStr">
        <is>
          <t>FIFO cap; oldest record per Project is archived on overflow. Status: Current vs Historical.</t>
        </is>
      </c>
    </row>
    <row r="4">
      <c r="A4" s="69" t="inlineStr">
        <is>
          <t>RecordID</t>
        </is>
      </c>
      <c r="B4" s="69" t="inlineStr">
        <is>
          <t>Project</t>
        </is>
      </c>
      <c r="C4" s="69" t="inlineStr">
        <is>
          <t>Status</t>
        </is>
      </c>
      <c r="D4" s="69" t="inlineStr">
        <is>
          <t>Timestamp</t>
        </is>
      </c>
      <c r="E4" s="69" t="inlineStr">
        <is>
          <t>UpdatedBy</t>
        </is>
      </c>
      <c r="F4" s="69" t="inlineStr">
        <is>
          <t>Notes</t>
        </is>
      </c>
      <c r="G4" s="69" t="inlineStr">
        <is>
          <t>PhaseNo</t>
        </is>
      </c>
      <c r="H4" s="69" t="inlineStr">
        <is>
          <t>ProjectName</t>
        </is>
      </c>
      <c r="I4" s="69" t="inlineStr">
        <is>
          <t>LandAcres</t>
        </is>
      </c>
      <c r="J4" s="69" t="inlineStr">
        <is>
          <t>ClosingDate</t>
        </is>
      </c>
      <c r="K4" s="69" t="inlineStr">
        <is>
          <t>GSF</t>
        </is>
      </c>
      <c r="L4" s="69" t="inlineStr">
        <is>
          <t>NSF</t>
        </is>
      </c>
      <c r="M4" s="69" t="inlineStr">
        <is>
          <t>off_ConstStart</t>
        </is>
      </c>
      <c r="N4" s="69" t="inlineStr">
        <is>
          <t>off_InitOcc</t>
        </is>
      </c>
      <c r="O4" s="69" t="inlineStr">
        <is>
          <t>off_ConstEnd</t>
        </is>
      </c>
      <c r="P4" s="69" t="inlineStr">
        <is>
          <t>off_Stab</t>
        </is>
      </c>
      <c r="Q4" s="69" t="inlineStr">
        <is>
          <t>HasCommercial</t>
        </is>
      </c>
      <c r="R4" s="69" t="inlineStr">
        <is>
          <t>CommSF</t>
        </is>
      </c>
      <c r="S4" s="69" t="inlineStr">
        <is>
          <t>CommRentPSF</t>
        </is>
      </c>
      <c r="T4" s="69" t="inlineStr">
        <is>
          <t>CommEscalation</t>
        </is>
      </c>
      <c r="U4" s="69" t="inlineStr">
        <is>
          <t>CommAbatement</t>
        </is>
      </c>
      <c r="V4" s="69" t="inlineStr">
        <is>
          <t>CommVacancy</t>
        </is>
      </c>
      <c r="W4" s="69" t="inlineStr">
        <is>
          <t>CommOpExPSF</t>
        </is>
      </c>
      <c r="X4" s="69" t="inlineStr">
        <is>
          <t>UM1_Type</t>
        </is>
      </c>
      <c r="Y4" s="69" t="inlineStr">
        <is>
          <t>UM1_Count</t>
        </is>
      </c>
      <c r="Z4" s="69" t="inlineStr">
        <is>
          <t>UM1_AvgSF</t>
        </is>
      </c>
      <c r="AA4" s="69" t="inlineStr">
        <is>
          <t>UM1_PUPM</t>
        </is>
      </c>
      <c r="AB4" s="69" t="inlineStr">
        <is>
          <t>UM2_Type</t>
        </is>
      </c>
      <c r="AC4" s="69" t="inlineStr">
        <is>
          <t>UM2_Count</t>
        </is>
      </c>
      <c r="AD4" s="69" t="inlineStr">
        <is>
          <t>UM2_AvgSF</t>
        </is>
      </c>
      <c r="AE4" s="69" t="inlineStr">
        <is>
          <t>UM2_PUPM</t>
        </is>
      </c>
      <c r="AF4" s="69" t="inlineStr">
        <is>
          <t>UM3_Type</t>
        </is>
      </c>
      <c r="AG4" s="69" t="inlineStr">
        <is>
          <t>UM3_Count</t>
        </is>
      </c>
      <c r="AH4" s="69" t="inlineStr">
        <is>
          <t>UM3_AvgSF</t>
        </is>
      </c>
      <c r="AI4" s="69" t="inlineStr">
        <is>
          <t>UM3_PUPM</t>
        </is>
      </c>
      <c r="AJ4" s="69" t="inlineStr">
        <is>
          <t>UM4_Type</t>
        </is>
      </c>
      <c r="AK4" s="69" t="inlineStr">
        <is>
          <t>UM4_Count</t>
        </is>
      </c>
      <c r="AL4" s="69" t="inlineStr">
        <is>
          <t>UM4_AvgSF</t>
        </is>
      </c>
      <c r="AM4" s="69" t="inlineStr">
        <is>
          <t>UM4_PUPM</t>
        </is>
      </c>
      <c r="AN4" s="69" t="inlineStr">
        <is>
          <t>ResVacancy</t>
        </is>
      </c>
      <c r="AO4" s="69" t="inlineStr">
        <is>
          <t>ResConcessions</t>
        </is>
      </c>
      <c r="AP4" s="69" t="inlineStr">
        <is>
          <t>ResModel</t>
        </is>
      </c>
      <c r="AQ4" s="69" t="inlineStr">
        <is>
          <t>ResCollLoss</t>
        </is>
      </c>
      <c r="AR4" s="69" t="inlineStr">
        <is>
          <t>OI1_Name</t>
        </is>
      </c>
      <c r="AS4" s="69" t="inlineStr">
        <is>
          <t>OI1_PUPM</t>
        </is>
      </c>
      <c r="AT4" s="69" t="inlineStr">
        <is>
          <t>OI2_Name</t>
        </is>
      </c>
      <c r="AU4" s="69" t="inlineStr">
        <is>
          <t>OI2_PUPM</t>
        </is>
      </c>
      <c r="AV4" s="69" t="inlineStr">
        <is>
          <t>OI3_Name</t>
        </is>
      </c>
      <c r="AW4" s="69" t="inlineStr">
        <is>
          <t>OI3_PUPM</t>
        </is>
      </c>
      <c r="AX4" s="69" t="inlineStr">
        <is>
          <t>OI4_Name</t>
        </is>
      </c>
      <c r="AY4" s="69" t="inlineStr">
        <is>
          <t>OI4_PUPM</t>
        </is>
      </c>
      <c r="AZ4" s="69" t="inlineStr">
        <is>
          <t>OI5_Name</t>
        </is>
      </c>
      <c r="BA4" s="69" t="inlineStr">
        <is>
          <t>OI5_PUPM</t>
        </is>
      </c>
      <c r="BB4" s="69" t="inlineStr">
        <is>
          <t>OpEx_Payroll</t>
        </is>
      </c>
      <c r="BC4" s="69" t="inlineStr">
        <is>
          <t>OpEx_Marketing</t>
        </is>
      </c>
      <c r="BD4" s="69" t="inlineStr">
        <is>
          <t>OpEx_Admin</t>
        </is>
      </c>
      <c r="BE4" s="69" t="inlineStr">
        <is>
          <t>OpEx_ProfFees</t>
        </is>
      </c>
      <c r="BF4" s="69" t="inlineStr">
        <is>
          <t>OpEx_RM</t>
        </is>
      </c>
      <c r="BG4" s="69" t="inlineStr">
        <is>
          <t>OpEx_Utilities</t>
        </is>
      </c>
      <c r="BH4" s="69" t="inlineStr">
        <is>
          <t>OpEx_Insurance</t>
        </is>
      </c>
      <c r="BI4" s="69" t="inlineStr">
        <is>
          <t>OpEx_RETaxes</t>
        </is>
      </c>
      <c r="BJ4" s="69" t="inlineStr">
        <is>
          <t>OpEx_MgmtFeePct</t>
        </is>
      </c>
      <c r="BK4" s="69" t="inlineStr">
        <is>
          <t>Bud_Land</t>
        </is>
      </c>
      <c r="BL4" s="69" t="inlineStr">
        <is>
          <t>Bud_Shell</t>
        </is>
      </c>
      <c r="BM4" s="69" t="inlineStr">
        <is>
          <t>Bud_Sitework</t>
        </is>
      </c>
      <c r="BN4" s="69" t="inlineStr">
        <is>
          <t>Bud_Parking</t>
        </is>
      </c>
      <c r="BO4" s="69" t="inlineStr">
        <is>
          <t>Bud_FFE</t>
        </is>
      </c>
      <c r="BP4" s="69" t="inlineStr">
        <is>
          <t>Bud_GCFee</t>
        </is>
      </c>
      <c r="BQ4" s="69" t="inlineStr">
        <is>
          <t>Bud_AE</t>
        </is>
      </c>
      <c r="BR4" s="69" t="inlineStr">
        <is>
          <t>Bud_Permits</t>
        </is>
      </c>
      <c r="BS4" s="69" t="inlineStr">
        <is>
          <t>Bud_Legal</t>
        </is>
      </c>
      <c r="BT4" s="69" t="inlineStr">
        <is>
          <t>Bud_Mktg</t>
        </is>
      </c>
      <c r="BU4" s="69" t="inlineStr">
        <is>
          <t>Bud_DevFee</t>
        </is>
      </c>
      <c r="BV4" s="69" t="inlineStr">
        <is>
          <t>Bud_TaxIns</t>
        </is>
      </c>
    </row>
    <row r="5">
      <c r="A5" s="70" t="n">
        <v>1</v>
      </c>
      <c r="B5" s="70" t="inlineStr">
        <is>
          <t>RAD 1</t>
        </is>
      </c>
      <c r="C5" s="70" t="inlineStr">
        <is>
          <t>Current</t>
        </is>
      </c>
      <c r="D5" s="71" t="n">
        <v>46196</v>
      </c>
      <c r="E5" s="70" t="inlineStr">
        <is>
          <t>seed</t>
        </is>
      </c>
      <c r="F5" s="70" t="inlineStr">
        <is>
          <t>initial seed record</t>
        </is>
      </c>
      <c r="G5" s="70">
        <f>Cockpit!$D$14</f>
        <v/>
      </c>
      <c r="H5" s="70">
        <f>Cockpit!$D$15</f>
        <v/>
      </c>
      <c r="I5" s="70">
        <f>Cockpit!$D$16</f>
        <v/>
      </c>
      <c r="J5" s="70">
        <f>Cockpit!$D$17</f>
        <v/>
      </c>
      <c r="K5" s="70">
        <f>Cockpit!$D$18</f>
        <v/>
      </c>
      <c r="L5" s="70">
        <f>Cockpit!$D$19</f>
        <v/>
      </c>
      <c r="M5" s="70">
        <f>Cockpit!$D$21</f>
        <v/>
      </c>
      <c r="N5" s="70">
        <f>Cockpit!$D$22</f>
        <v/>
      </c>
      <c r="O5" s="70">
        <f>Cockpit!$D$23</f>
        <v/>
      </c>
      <c r="P5" s="70">
        <f>Cockpit!$D$24</f>
        <v/>
      </c>
      <c r="Q5" s="70">
        <f>Cockpit!$D$26</f>
        <v/>
      </c>
      <c r="R5" s="70">
        <f>Cockpit!$D$27</f>
        <v/>
      </c>
      <c r="S5" s="70">
        <f>Cockpit!$D$28</f>
        <v/>
      </c>
      <c r="T5" s="70">
        <f>Cockpit!$D$29</f>
        <v/>
      </c>
      <c r="U5" s="70">
        <f>Cockpit!$D$30</f>
        <v/>
      </c>
      <c r="V5" s="70">
        <f>Cockpit!$D$31</f>
        <v/>
      </c>
      <c r="W5" s="70">
        <f>Cockpit!$D$32</f>
        <v/>
      </c>
      <c r="X5" s="70">
        <f>Cockpit!$B$36</f>
        <v/>
      </c>
      <c r="Y5" s="70">
        <f>Cockpit!$C$36</f>
        <v/>
      </c>
      <c r="Z5" s="70">
        <f>Cockpit!$D$36</f>
        <v/>
      </c>
      <c r="AA5" s="70">
        <f>Cockpit!$E$36</f>
        <v/>
      </c>
      <c r="AB5" s="70">
        <f>Cockpit!$B$37</f>
        <v/>
      </c>
      <c r="AC5" s="70">
        <f>Cockpit!$C$37</f>
        <v/>
      </c>
      <c r="AD5" s="70">
        <f>Cockpit!$D$37</f>
        <v/>
      </c>
      <c r="AE5" s="70">
        <f>Cockpit!$E$37</f>
        <v/>
      </c>
      <c r="AF5" s="70">
        <f>Cockpit!$B$38</f>
        <v/>
      </c>
      <c r="AG5" s="70">
        <f>Cockpit!$C$38</f>
        <v/>
      </c>
      <c r="AH5" s="70">
        <f>Cockpit!$D$38</f>
        <v/>
      </c>
      <c r="AI5" s="70">
        <f>Cockpit!$E$38</f>
        <v/>
      </c>
      <c r="AJ5" s="70">
        <f>Cockpit!$B$39</f>
        <v/>
      </c>
      <c r="AK5" s="70">
        <f>Cockpit!$C$39</f>
        <v/>
      </c>
      <c r="AL5" s="70">
        <f>Cockpit!$D$39</f>
        <v/>
      </c>
      <c r="AM5" s="70">
        <f>Cockpit!$E$39</f>
        <v/>
      </c>
      <c r="AN5" s="70">
        <f>Cockpit!$D$43</f>
        <v/>
      </c>
      <c r="AO5" s="70">
        <f>Cockpit!$D$44</f>
        <v/>
      </c>
      <c r="AP5" s="70">
        <f>Cockpit!$D$45</f>
        <v/>
      </c>
      <c r="AQ5" s="70">
        <f>Cockpit!$D$46</f>
        <v/>
      </c>
      <c r="AR5" s="70">
        <f>Cockpit!$B$50</f>
        <v/>
      </c>
      <c r="AS5" s="70">
        <f>Cockpit!$D$50</f>
        <v/>
      </c>
      <c r="AT5" s="70">
        <f>Cockpit!$B$51</f>
        <v/>
      </c>
      <c r="AU5" s="70">
        <f>Cockpit!$D$51</f>
        <v/>
      </c>
      <c r="AV5" s="70">
        <f>Cockpit!$B$52</f>
        <v/>
      </c>
      <c r="AW5" s="70">
        <f>Cockpit!$D$52</f>
        <v/>
      </c>
      <c r="AX5" s="70">
        <f>Cockpit!$B$53</f>
        <v/>
      </c>
      <c r="AY5" s="70">
        <f>Cockpit!$D$53</f>
        <v/>
      </c>
      <c r="AZ5" s="70">
        <f>Cockpit!$B$54</f>
        <v/>
      </c>
      <c r="BA5" s="70">
        <f>Cockpit!$D$54</f>
        <v/>
      </c>
      <c r="BB5" s="70">
        <f>Cockpit!$D$61</f>
        <v/>
      </c>
      <c r="BC5" s="70">
        <f>Cockpit!$D$62</f>
        <v/>
      </c>
      <c r="BD5" s="70">
        <f>Cockpit!$D$63</f>
        <v/>
      </c>
      <c r="BE5" s="70">
        <f>Cockpit!$D$64</f>
        <v/>
      </c>
      <c r="BF5" s="70">
        <f>Cockpit!$D$65</f>
        <v/>
      </c>
      <c r="BG5" s="70">
        <f>Cockpit!$D$66</f>
        <v/>
      </c>
      <c r="BH5" s="70">
        <f>Cockpit!$D$67</f>
        <v/>
      </c>
      <c r="BI5" s="70">
        <f>Cockpit!$D$68</f>
        <v/>
      </c>
      <c r="BJ5" s="70">
        <f>Cockpit!$D$69</f>
        <v/>
      </c>
      <c r="BK5" s="70">
        <f>Cockpit!$D$78</f>
        <v/>
      </c>
      <c r="BL5" s="70">
        <f>Cockpit!$D$79</f>
        <v/>
      </c>
      <c r="BM5" s="70">
        <f>Cockpit!$D$80</f>
        <v/>
      </c>
      <c r="BN5" s="70">
        <f>Cockpit!$D$81</f>
        <v/>
      </c>
      <c r="BO5" s="70">
        <f>Cockpit!$D$82</f>
        <v/>
      </c>
      <c r="BP5" s="70">
        <f>Cockpit!$D$83</f>
        <v/>
      </c>
      <c r="BQ5" s="70">
        <f>Cockpit!$D$84</f>
        <v/>
      </c>
      <c r="BR5" s="70">
        <f>Cockpit!$D$85</f>
        <v/>
      </c>
      <c r="BS5" s="70">
        <f>Cockpit!$D$86</f>
        <v/>
      </c>
      <c r="BT5" s="70">
        <f>Cockpit!$D$87</f>
        <v/>
      </c>
      <c r="BU5" s="70">
        <f>Cockpit!$D$88</f>
        <v/>
      </c>
      <c r="BV5" s="70">
        <f>Cockpit!$D$89</f>
        <v/>
      </c>
    </row>
    <row r="6">
      <c r="A6" s="70" t="n">
        <v>2</v>
      </c>
      <c r="B6" s="70" t="inlineStr">
        <is>
          <t>RAD 2</t>
        </is>
      </c>
      <c r="C6" s="70" t="inlineStr">
        <is>
          <t>Current</t>
        </is>
      </c>
      <c r="D6" s="71" t="n">
        <v>46196</v>
      </c>
      <c r="E6" s="70" t="inlineStr">
        <is>
          <t>seed</t>
        </is>
      </c>
      <c r="F6" s="70" t="inlineStr">
        <is>
          <t>initial seed record</t>
        </is>
      </c>
      <c r="G6" s="70" t="inlineStr"/>
      <c r="H6" s="70" t="inlineStr"/>
      <c r="I6" s="70" t="inlineStr"/>
      <c r="J6" s="70" t="inlineStr"/>
      <c r="K6" s="70" t="inlineStr"/>
      <c r="L6" s="70" t="inlineStr"/>
      <c r="M6" s="70" t="inlineStr"/>
      <c r="N6" s="70" t="inlineStr"/>
      <c r="O6" s="70" t="inlineStr"/>
      <c r="P6" s="70" t="inlineStr"/>
      <c r="Q6" s="70" t="inlineStr"/>
      <c r="R6" s="70" t="inlineStr"/>
      <c r="S6" s="70" t="inlineStr"/>
      <c r="T6" s="70" t="inlineStr"/>
      <c r="U6" s="70" t="inlineStr"/>
      <c r="V6" s="70" t="inlineStr"/>
      <c r="W6" s="70" t="inlineStr"/>
      <c r="X6" s="70" t="inlineStr"/>
      <c r="Y6" s="70" t="inlineStr"/>
      <c r="Z6" s="70" t="inlineStr"/>
      <c r="AA6" s="70" t="inlineStr"/>
      <c r="AB6" s="70" t="inlineStr"/>
      <c r="AC6" s="70" t="inlineStr"/>
      <c r="AD6" s="70" t="inlineStr"/>
      <c r="AE6" s="70" t="inlineStr"/>
      <c r="AF6" s="70" t="inlineStr"/>
      <c r="AG6" s="70" t="inlineStr"/>
      <c r="AH6" s="70" t="inlineStr"/>
      <c r="AI6" s="70" t="inlineStr"/>
      <c r="AJ6" s="70" t="inlineStr"/>
      <c r="AK6" s="70" t="inlineStr"/>
      <c r="AL6" s="70" t="inlineStr"/>
      <c r="AM6" s="70" t="inlineStr"/>
      <c r="AN6" s="70" t="inlineStr"/>
      <c r="AO6" s="70" t="inlineStr"/>
      <c r="AP6" s="70" t="inlineStr"/>
      <c r="AQ6" s="70" t="inlineStr"/>
      <c r="AR6" s="70" t="inlineStr"/>
      <c r="AS6" s="70" t="inlineStr"/>
      <c r="AT6" s="70" t="inlineStr"/>
      <c r="AU6" s="70" t="inlineStr"/>
      <c r="AV6" s="70" t="inlineStr"/>
      <c r="AW6" s="70" t="inlineStr"/>
      <c r="AX6" s="70" t="inlineStr"/>
      <c r="AY6" s="70" t="inlineStr"/>
      <c r="AZ6" s="70" t="inlineStr"/>
      <c r="BA6" s="70" t="inlineStr"/>
      <c r="BB6" s="70" t="inlineStr"/>
      <c r="BC6" s="70" t="inlineStr"/>
      <c r="BD6" s="70" t="inlineStr"/>
      <c r="BE6" s="70" t="inlineStr"/>
      <c r="BF6" s="70" t="inlineStr"/>
      <c r="BG6" s="70" t="inlineStr"/>
      <c r="BH6" s="70" t="inlineStr"/>
      <c r="BI6" s="70" t="inlineStr"/>
      <c r="BJ6" s="70" t="inlineStr"/>
      <c r="BK6" s="70" t="inlineStr"/>
      <c r="BL6" s="70" t="inlineStr"/>
      <c r="BM6" s="70" t="inlineStr"/>
      <c r="BN6" s="70" t="inlineStr"/>
      <c r="BO6" s="70" t="inlineStr"/>
      <c r="BP6" s="70" t="inlineStr"/>
      <c r="BQ6" s="70" t="inlineStr"/>
      <c r="BR6" s="70" t="inlineStr"/>
      <c r="BS6" s="70" t="inlineStr"/>
      <c r="BT6" s="70" t="inlineStr"/>
      <c r="BU6" s="70" t="inlineStr"/>
      <c r="BV6" s="70" t="inlineStr"/>
    </row>
    <row r="7">
      <c r="A7" s="70" t="n">
        <v>3</v>
      </c>
      <c r="B7" s="70" t="inlineStr">
        <is>
          <t>Live Local A</t>
        </is>
      </c>
      <c r="C7" s="70" t="inlineStr">
        <is>
          <t>Current</t>
        </is>
      </c>
      <c r="D7" s="71" t="n">
        <v>46196</v>
      </c>
      <c r="E7" s="70" t="inlineStr">
        <is>
          <t>seed</t>
        </is>
      </c>
      <c r="F7" s="70" t="inlineStr">
        <is>
          <t>initial seed record</t>
        </is>
      </c>
      <c r="G7" s="70" t="inlineStr"/>
      <c r="H7" s="70" t="inlineStr"/>
      <c r="I7" s="70" t="inlineStr"/>
      <c r="J7" s="70" t="inlineStr"/>
      <c r="K7" s="70" t="inlineStr"/>
      <c r="L7" s="70" t="inlineStr"/>
      <c r="M7" s="70" t="inlineStr"/>
      <c r="N7" s="70" t="inlineStr"/>
      <c r="O7" s="70" t="inlineStr"/>
      <c r="P7" s="70" t="inlineStr"/>
      <c r="Q7" s="70" t="inlineStr"/>
      <c r="R7" s="70" t="inlineStr"/>
      <c r="S7" s="70" t="inlineStr"/>
      <c r="T7" s="70" t="inlineStr"/>
      <c r="U7" s="70" t="inlineStr"/>
      <c r="V7" s="70" t="inlineStr"/>
      <c r="W7" s="70" t="inlineStr"/>
      <c r="X7" s="70" t="inlineStr"/>
      <c r="Y7" s="70" t="inlineStr"/>
      <c r="Z7" s="70" t="inlineStr"/>
      <c r="AA7" s="70" t="inlineStr"/>
      <c r="AB7" s="70" t="inlineStr"/>
      <c r="AC7" s="70" t="inlineStr"/>
      <c r="AD7" s="70" t="inlineStr"/>
      <c r="AE7" s="70" t="inlineStr"/>
      <c r="AF7" s="70" t="inlineStr"/>
      <c r="AG7" s="70" t="inlineStr"/>
      <c r="AH7" s="70" t="inlineStr"/>
      <c r="AI7" s="70" t="inlineStr"/>
      <c r="AJ7" s="70" t="inlineStr"/>
      <c r="AK7" s="70" t="inlineStr"/>
      <c r="AL7" s="70" t="inlineStr"/>
      <c r="AM7" s="70" t="inlineStr"/>
      <c r="AN7" s="70" t="inlineStr"/>
      <c r="AO7" s="70" t="inlineStr"/>
      <c r="AP7" s="70" t="inlineStr"/>
      <c r="AQ7" s="70" t="inlineStr"/>
      <c r="AR7" s="70" t="inlineStr"/>
      <c r="AS7" s="70" t="inlineStr"/>
      <c r="AT7" s="70" t="inlineStr"/>
      <c r="AU7" s="70" t="inlineStr"/>
      <c r="AV7" s="70" t="inlineStr"/>
      <c r="AW7" s="70" t="inlineStr"/>
      <c r="AX7" s="70" t="inlineStr"/>
      <c r="AY7" s="70" t="inlineStr"/>
      <c r="AZ7" s="70" t="inlineStr"/>
      <c r="BA7" s="70" t="inlineStr"/>
      <c r="BB7" s="70" t="inlineStr"/>
      <c r="BC7" s="70" t="inlineStr"/>
      <c r="BD7" s="70" t="inlineStr"/>
      <c r="BE7" s="70" t="inlineStr"/>
      <c r="BF7" s="70" t="inlineStr"/>
      <c r="BG7" s="70" t="inlineStr"/>
      <c r="BH7" s="70" t="inlineStr"/>
      <c r="BI7" s="70" t="inlineStr"/>
      <c r="BJ7" s="70" t="inlineStr"/>
      <c r="BK7" s="70" t="inlineStr"/>
      <c r="BL7" s="70" t="inlineStr"/>
      <c r="BM7" s="70" t="inlineStr"/>
      <c r="BN7" s="70" t="inlineStr"/>
      <c r="BO7" s="70" t="inlineStr"/>
      <c r="BP7" s="70" t="inlineStr"/>
      <c r="BQ7" s="70" t="inlineStr"/>
      <c r="BR7" s="70" t="inlineStr"/>
      <c r="BS7" s="70" t="inlineStr"/>
      <c r="BT7" s="70" t="inlineStr"/>
      <c r="BU7" s="70" t="inlineStr"/>
      <c r="BV7" s="7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2" t="inlineStr">
        <is>
          <t>PORTFOLIO DASHBOARD  -  all projects (latest published record), read-only</t>
        </is>
      </c>
    </row>
    <row r="3">
      <c r="A3" s="72" t="inlineStr">
        <is>
          <t>Project</t>
        </is>
      </c>
      <c r="B3" s="72" t="inlineStr">
        <is>
          <t>Phase No.</t>
        </is>
      </c>
      <c r="C3" s="72" t="inlineStr">
        <is>
          <t>Units</t>
        </is>
      </c>
      <c r="D3" s="72" t="inlineStr">
        <is>
          <t>NSF</t>
        </is>
      </c>
      <c r="E3" s="72" t="inlineStr">
        <is>
          <t>EGR</t>
        </is>
      </c>
      <c r="F3" s="72" t="inlineStr">
        <is>
          <t>NOI</t>
        </is>
      </c>
      <c r="G3" s="72" t="inlineStr">
        <is>
          <t>OpEx Ratio</t>
        </is>
      </c>
      <c r="H3" s="72" t="inlineStr">
        <is>
          <t>Total Dev Cost</t>
        </is>
      </c>
      <c r="I3" s="72" t="inlineStr">
        <is>
          <t>Cost/Unit</t>
        </is>
      </c>
      <c r="J3" s="72" t="inlineStr">
        <is>
          <t>Yield on Cost</t>
        </is>
      </c>
    </row>
    <row r="4">
      <c r="A4" s="73">
        <f>IF(Lists!$A$2="","",Lists!$A$2)</f>
        <v/>
      </c>
      <c r="B4" s="74">
        <f>IFERROR(IF(Lists!$A$2="","",INDEX(Database!$G:$G,MATCH(MAXIFS(Database!$A:$A,Database!$B:$B,Lists!$A$2),Database!$A:$A,0))),"")</f>
        <v/>
      </c>
      <c r="C4" s="74">
        <f>IFERROR(IF(Lists!$A$2="","",N(INDEX(Database!$Y:$Y,MATCH(MAXIFS(Database!$A:$A,Database!$B:$B,Lists!$A$2),Database!$A:$A,0)))+N(INDEX(Database!$AC:$AC,MATCH(MAXIFS(Database!$A:$A,Database!$B:$B,Lists!$A$2),Database!$A:$A,0)))+N(INDEX(Database!$AG:$AG,MATCH(MAXIFS(Database!$A:$A,Database!$B:$B,Lists!$A$2),Database!$A:$A,0)))+N(INDEX(Database!$AK:$AK,MATCH(MAXIFS(Database!$A:$A,Database!$B:$B,Lists!$A$2),Database!$A:$A,0)))),"")</f>
        <v/>
      </c>
      <c r="D4" s="74">
        <f>IFERROR(IF(Lists!$A$2="","",INDEX(Database!$L:$L,MATCH(MAXIFS(Database!$A:$A,Database!$B:$B,Lists!$A$2),Database!$A:$A,0))),"")</f>
        <v/>
      </c>
      <c r="E4" s="75">
        <f>IF(Lists!$A$2="","","-")</f>
        <v/>
      </c>
      <c r="F4" s="75">
        <f>IF(Lists!$A$2="","","-")</f>
        <v/>
      </c>
      <c r="G4" s="75">
        <f>IF(Lists!$A$2="","","-")</f>
        <v/>
      </c>
      <c r="H4" s="75">
        <f>IF(Lists!$A$2="","","-")</f>
        <v/>
      </c>
      <c r="I4" s="75">
        <f>IF(Lists!$A$2="","","-")</f>
        <v/>
      </c>
      <c r="J4" s="75">
        <f>IF(Lists!$A$2="","","-")</f>
        <v/>
      </c>
    </row>
    <row r="5">
      <c r="A5" s="73">
        <f>IF(Lists!$A$3="","",Lists!$A$3)</f>
        <v/>
      </c>
      <c r="B5" s="74">
        <f>IFERROR(IF(Lists!$A$3="","",INDEX(Database!$G:$G,MATCH(MAXIFS(Database!$A:$A,Database!$B:$B,Lists!$A$3),Database!$A:$A,0))),"")</f>
        <v/>
      </c>
      <c r="C5" s="74">
        <f>IFERROR(IF(Lists!$A$3="","",N(INDEX(Database!$Y:$Y,MATCH(MAXIFS(Database!$A:$A,Database!$B:$B,Lists!$A$3),Database!$A:$A,0)))+N(INDEX(Database!$AC:$AC,MATCH(MAXIFS(Database!$A:$A,Database!$B:$B,Lists!$A$3),Database!$A:$A,0)))+N(INDEX(Database!$AG:$AG,MATCH(MAXIFS(Database!$A:$A,Database!$B:$B,Lists!$A$3),Database!$A:$A,0)))+N(INDEX(Database!$AK:$AK,MATCH(MAXIFS(Database!$A:$A,Database!$B:$B,Lists!$A$3),Database!$A:$A,0)))),"")</f>
        <v/>
      </c>
      <c r="D5" s="74">
        <f>IFERROR(IF(Lists!$A$3="","",INDEX(Database!$L:$L,MATCH(MAXIFS(Database!$A:$A,Database!$B:$B,Lists!$A$3),Database!$A:$A,0))),"")</f>
        <v/>
      </c>
      <c r="E5" s="75">
        <f>IF(Lists!$A$3="","","-")</f>
        <v/>
      </c>
      <c r="F5" s="75">
        <f>IF(Lists!$A$3="","","-")</f>
        <v/>
      </c>
      <c r="G5" s="75">
        <f>IF(Lists!$A$3="","","-")</f>
        <v/>
      </c>
      <c r="H5" s="75">
        <f>IF(Lists!$A$3="","","-")</f>
        <v/>
      </c>
      <c r="I5" s="75">
        <f>IF(Lists!$A$3="","","-")</f>
        <v/>
      </c>
      <c r="J5" s="75">
        <f>IF(Lists!$A$3="","","-")</f>
        <v/>
      </c>
    </row>
    <row r="6">
      <c r="A6" s="73">
        <f>IF(Lists!$A$4="","",Lists!$A$4)</f>
        <v/>
      </c>
      <c r="B6" s="74">
        <f>IFERROR(IF(Lists!$A$4="","",INDEX(Database!$G:$G,MATCH(MAXIFS(Database!$A:$A,Database!$B:$B,Lists!$A$4),Database!$A:$A,0))),"")</f>
        <v/>
      </c>
      <c r="C6" s="74">
        <f>IFERROR(IF(Lists!$A$4="","",N(INDEX(Database!$Y:$Y,MATCH(MAXIFS(Database!$A:$A,Database!$B:$B,Lists!$A$4),Database!$A:$A,0)))+N(INDEX(Database!$AC:$AC,MATCH(MAXIFS(Database!$A:$A,Database!$B:$B,Lists!$A$4),Database!$A:$A,0)))+N(INDEX(Database!$AG:$AG,MATCH(MAXIFS(Database!$A:$A,Database!$B:$B,Lists!$A$4),Database!$A:$A,0)))+N(INDEX(Database!$AK:$AK,MATCH(MAXIFS(Database!$A:$A,Database!$B:$B,Lists!$A$4),Database!$A:$A,0)))),"")</f>
        <v/>
      </c>
      <c r="D6" s="74">
        <f>IFERROR(IF(Lists!$A$4="","",INDEX(Database!$L:$L,MATCH(MAXIFS(Database!$A:$A,Database!$B:$B,Lists!$A$4),Database!$A:$A,0))),"")</f>
        <v/>
      </c>
      <c r="E6" s="75">
        <f>IF(Lists!$A$4="","","-")</f>
        <v/>
      </c>
      <c r="F6" s="75">
        <f>IF(Lists!$A$4="","","-")</f>
        <v/>
      </c>
      <c r="G6" s="75">
        <f>IF(Lists!$A$4="","","-")</f>
        <v/>
      </c>
      <c r="H6" s="75">
        <f>IF(Lists!$A$4="","","-")</f>
        <v/>
      </c>
      <c r="I6" s="75">
        <f>IF(Lists!$A$4="","","-")</f>
        <v/>
      </c>
      <c r="J6" s="75">
        <f>IF(Lists!$A$4="","","-")</f>
        <v/>
      </c>
    </row>
    <row r="7">
      <c r="A7" s="73">
        <f>IF(Lists!$A$5="","",Lists!$A$5)</f>
        <v/>
      </c>
      <c r="B7" s="74">
        <f>IFERROR(IF(Lists!$A$5="","",INDEX(Database!$G:$G,MATCH(MAXIFS(Database!$A:$A,Database!$B:$B,Lists!$A$5),Database!$A:$A,0))),"")</f>
        <v/>
      </c>
      <c r="C7" s="74">
        <f>IFERROR(IF(Lists!$A$5="","",N(INDEX(Database!$Y:$Y,MATCH(MAXIFS(Database!$A:$A,Database!$B:$B,Lists!$A$5),Database!$A:$A,0)))+N(INDEX(Database!$AC:$AC,MATCH(MAXIFS(Database!$A:$A,Database!$B:$B,Lists!$A$5),Database!$A:$A,0)))+N(INDEX(Database!$AG:$AG,MATCH(MAXIFS(Database!$A:$A,Database!$B:$B,Lists!$A$5),Database!$A:$A,0)))+N(INDEX(Database!$AK:$AK,MATCH(MAXIFS(Database!$A:$A,Database!$B:$B,Lists!$A$5),Database!$A:$A,0)))),"")</f>
        <v/>
      </c>
      <c r="D7" s="74">
        <f>IFERROR(IF(Lists!$A$5="","",INDEX(Database!$L:$L,MATCH(MAXIFS(Database!$A:$A,Database!$B:$B,Lists!$A$5),Database!$A:$A,0))),"")</f>
        <v/>
      </c>
      <c r="E7" s="75">
        <f>IF(Lists!$A$5="","","-")</f>
        <v/>
      </c>
      <c r="F7" s="75">
        <f>IF(Lists!$A$5="","","-")</f>
        <v/>
      </c>
      <c r="G7" s="75">
        <f>IF(Lists!$A$5="","","-")</f>
        <v/>
      </c>
      <c r="H7" s="75">
        <f>IF(Lists!$A$5="","","-")</f>
        <v/>
      </c>
      <c r="I7" s="75">
        <f>IF(Lists!$A$5="","","-")</f>
        <v/>
      </c>
      <c r="J7" s="75">
        <f>IF(Lists!$A$5="","","-")</f>
        <v/>
      </c>
    </row>
    <row r="8">
      <c r="A8" s="73">
        <f>IF(Lists!$A$6="","",Lists!$A$6)</f>
        <v/>
      </c>
      <c r="B8" s="74">
        <f>IFERROR(IF(Lists!$A$6="","",INDEX(Database!$G:$G,MATCH(MAXIFS(Database!$A:$A,Database!$B:$B,Lists!$A$6),Database!$A:$A,0))),"")</f>
        <v/>
      </c>
      <c r="C8" s="74">
        <f>IFERROR(IF(Lists!$A$6="","",N(INDEX(Database!$Y:$Y,MATCH(MAXIFS(Database!$A:$A,Database!$B:$B,Lists!$A$6),Database!$A:$A,0)))+N(INDEX(Database!$AC:$AC,MATCH(MAXIFS(Database!$A:$A,Database!$B:$B,Lists!$A$6),Database!$A:$A,0)))+N(INDEX(Database!$AG:$AG,MATCH(MAXIFS(Database!$A:$A,Database!$B:$B,Lists!$A$6),Database!$A:$A,0)))+N(INDEX(Database!$AK:$AK,MATCH(MAXIFS(Database!$A:$A,Database!$B:$B,Lists!$A$6),Database!$A:$A,0)))),"")</f>
        <v/>
      </c>
      <c r="D8" s="74">
        <f>IFERROR(IF(Lists!$A$6="","",INDEX(Database!$L:$L,MATCH(MAXIFS(Database!$A:$A,Database!$B:$B,Lists!$A$6),Database!$A:$A,0))),"")</f>
        <v/>
      </c>
      <c r="E8" s="75">
        <f>IF(Lists!$A$6="","","-")</f>
        <v/>
      </c>
      <c r="F8" s="75">
        <f>IF(Lists!$A$6="","","-")</f>
        <v/>
      </c>
      <c r="G8" s="75">
        <f>IF(Lists!$A$6="","","-")</f>
        <v/>
      </c>
      <c r="H8" s="75">
        <f>IF(Lists!$A$6="","","-")</f>
        <v/>
      </c>
      <c r="I8" s="75">
        <f>IF(Lists!$A$6="","","-")</f>
        <v/>
      </c>
      <c r="J8" s="75">
        <f>IF(Lists!$A$6="","","-")</f>
        <v/>
      </c>
    </row>
    <row r="9">
      <c r="A9" s="73">
        <f>IF(Lists!$A$7="","",Lists!$A$7)</f>
        <v/>
      </c>
      <c r="B9" s="74">
        <f>IFERROR(IF(Lists!$A$7="","",INDEX(Database!$G:$G,MATCH(MAXIFS(Database!$A:$A,Database!$B:$B,Lists!$A$7),Database!$A:$A,0))),"")</f>
        <v/>
      </c>
      <c r="C9" s="74">
        <f>IFERROR(IF(Lists!$A$7="","",N(INDEX(Database!$Y:$Y,MATCH(MAXIFS(Database!$A:$A,Database!$B:$B,Lists!$A$7),Database!$A:$A,0)))+N(INDEX(Database!$AC:$AC,MATCH(MAXIFS(Database!$A:$A,Database!$B:$B,Lists!$A$7),Database!$A:$A,0)))+N(INDEX(Database!$AG:$AG,MATCH(MAXIFS(Database!$A:$A,Database!$B:$B,Lists!$A$7),Database!$A:$A,0)))+N(INDEX(Database!$AK:$AK,MATCH(MAXIFS(Database!$A:$A,Database!$B:$B,Lists!$A$7),Database!$A:$A,0)))),"")</f>
        <v/>
      </c>
      <c r="D9" s="74">
        <f>IFERROR(IF(Lists!$A$7="","",INDEX(Database!$L:$L,MATCH(MAXIFS(Database!$A:$A,Database!$B:$B,Lists!$A$7),Database!$A:$A,0))),"")</f>
        <v/>
      </c>
      <c r="E9" s="75">
        <f>IF(Lists!$A$7="","","-")</f>
        <v/>
      </c>
      <c r="F9" s="75">
        <f>IF(Lists!$A$7="","","-")</f>
        <v/>
      </c>
      <c r="G9" s="75">
        <f>IF(Lists!$A$7="","","-")</f>
        <v/>
      </c>
      <c r="H9" s="75">
        <f>IF(Lists!$A$7="","","-")</f>
        <v/>
      </c>
      <c r="I9" s="75">
        <f>IF(Lists!$A$7="","","-")</f>
        <v/>
      </c>
      <c r="J9" s="75">
        <f>IF(Lists!$A$7="","","-")</f>
        <v/>
      </c>
    </row>
    <row r="10">
      <c r="A10" s="73">
        <f>IF(Lists!$A$8="","",Lists!$A$8)</f>
        <v/>
      </c>
      <c r="B10" s="74">
        <f>IFERROR(IF(Lists!$A$8="","",INDEX(Database!$G:$G,MATCH(MAXIFS(Database!$A:$A,Database!$B:$B,Lists!$A$8),Database!$A:$A,0))),"")</f>
        <v/>
      </c>
      <c r="C10" s="74">
        <f>IFERROR(IF(Lists!$A$8="","",N(INDEX(Database!$Y:$Y,MATCH(MAXIFS(Database!$A:$A,Database!$B:$B,Lists!$A$8),Database!$A:$A,0)))+N(INDEX(Database!$AC:$AC,MATCH(MAXIFS(Database!$A:$A,Database!$B:$B,Lists!$A$8),Database!$A:$A,0)))+N(INDEX(Database!$AG:$AG,MATCH(MAXIFS(Database!$A:$A,Database!$B:$B,Lists!$A$8),Database!$A:$A,0)))+N(INDEX(Database!$AK:$AK,MATCH(MAXIFS(Database!$A:$A,Database!$B:$B,Lists!$A$8),Database!$A:$A,0)))),"")</f>
        <v/>
      </c>
      <c r="D10" s="74">
        <f>IFERROR(IF(Lists!$A$8="","",INDEX(Database!$L:$L,MATCH(MAXIFS(Database!$A:$A,Database!$B:$B,Lists!$A$8),Database!$A:$A,0))),"")</f>
        <v/>
      </c>
      <c r="E10" s="75">
        <f>IF(Lists!$A$8="","","-")</f>
        <v/>
      </c>
      <c r="F10" s="75">
        <f>IF(Lists!$A$8="","","-")</f>
        <v/>
      </c>
      <c r="G10" s="75">
        <f>IF(Lists!$A$8="","","-")</f>
        <v/>
      </c>
      <c r="H10" s="75">
        <f>IF(Lists!$A$8="","","-")</f>
        <v/>
      </c>
      <c r="I10" s="75">
        <f>IF(Lists!$A$8="","","-")</f>
        <v/>
      </c>
      <c r="J10" s="75">
        <f>IF(Lists!$A$8="","","-")</f>
        <v/>
      </c>
    </row>
    <row r="11">
      <c r="A11" s="73">
        <f>IF(Lists!$A$9="","",Lists!$A$9)</f>
        <v/>
      </c>
      <c r="B11" s="74">
        <f>IFERROR(IF(Lists!$A$9="","",INDEX(Database!$G:$G,MATCH(MAXIFS(Database!$A:$A,Database!$B:$B,Lists!$A$9),Database!$A:$A,0))),"")</f>
        <v/>
      </c>
      <c r="C11" s="74">
        <f>IFERROR(IF(Lists!$A$9="","",N(INDEX(Database!$Y:$Y,MATCH(MAXIFS(Database!$A:$A,Database!$B:$B,Lists!$A$9),Database!$A:$A,0)))+N(INDEX(Database!$AC:$AC,MATCH(MAXIFS(Database!$A:$A,Database!$B:$B,Lists!$A$9),Database!$A:$A,0)))+N(INDEX(Database!$AG:$AG,MATCH(MAXIFS(Database!$A:$A,Database!$B:$B,Lists!$A$9),Database!$A:$A,0)))+N(INDEX(Database!$AK:$AK,MATCH(MAXIFS(Database!$A:$A,Database!$B:$B,Lists!$A$9),Database!$A:$A,0)))),"")</f>
        <v/>
      </c>
      <c r="D11" s="74">
        <f>IFERROR(IF(Lists!$A$9="","",INDEX(Database!$L:$L,MATCH(MAXIFS(Database!$A:$A,Database!$B:$B,Lists!$A$9),Database!$A:$A,0))),"")</f>
        <v/>
      </c>
      <c r="E11" s="75">
        <f>IF(Lists!$A$9="","","-")</f>
        <v/>
      </c>
      <c r="F11" s="75">
        <f>IF(Lists!$A$9="","","-")</f>
        <v/>
      </c>
      <c r="G11" s="75">
        <f>IF(Lists!$A$9="","","-")</f>
        <v/>
      </c>
      <c r="H11" s="75">
        <f>IF(Lists!$A$9="","","-")</f>
        <v/>
      </c>
      <c r="I11" s="75">
        <f>IF(Lists!$A$9="","","-")</f>
        <v/>
      </c>
      <c r="J11" s="75">
        <f>IF(Lists!$A$9="","","-")</f>
        <v/>
      </c>
    </row>
    <row r="12">
      <c r="A12" s="73">
        <f>IF(Lists!$A$10="","",Lists!$A$10)</f>
        <v/>
      </c>
      <c r="B12" s="74">
        <f>IFERROR(IF(Lists!$A$10="","",INDEX(Database!$G:$G,MATCH(MAXIFS(Database!$A:$A,Database!$B:$B,Lists!$A$10),Database!$A:$A,0))),"")</f>
        <v/>
      </c>
      <c r="C12" s="74">
        <f>IFERROR(IF(Lists!$A$10="","",N(INDEX(Database!$Y:$Y,MATCH(MAXIFS(Database!$A:$A,Database!$B:$B,Lists!$A$10),Database!$A:$A,0)))+N(INDEX(Database!$AC:$AC,MATCH(MAXIFS(Database!$A:$A,Database!$B:$B,Lists!$A$10),Database!$A:$A,0)))+N(INDEX(Database!$AG:$AG,MATCH(MAXIFS(Database!$A:$A,Database!$B:$B,Lists!$A$10),Database!$A:$A,0)))+N(INDEX(Database!$AK:$AK,MATCH(MAXIFS(Database!$A:$A,Database!$B:$B,Lists!$A$10),Database!$A:$A,0)))),"")</f>
        <v/>
      </c>
      <c r="D12" s="74">
        <f>IFERROR(IF(Lists!$A$10="","",INDEX(Database!$L:$L,MATCH(MAXIFS(Database!$A:$A,Database!$B:$B,Lists!$A$10),Database!$A:$A,0))),"")</f>
        <v/>
      </c>
      <c r="E12" s="75">
        <f>IF(Lists!$A$10="","","-")</f>
        <v/>
      </c>
      <c r="F12" s="75">
        <f>IF(Lists!$A$10="","","-")</f>
        <v/>
      </c>
      <c r="G12" s="75">
        <f>IF(Lists!$A$10="","","-")</f>
        <v/>
      </c>
      <c r="H12" s="75">
        <f>IF(Lists!$A$10="","","-")</f>
        <v/>
      </c>
      <c r="I12" s="75">
        <f>IF(Lists!$A$10="","","-")</f>
        <v/>
      </c>
      <c r="J12" s="75">
        <f>IF(Lists!$A$10="","","-")</f>
        <v/>
      </c>
    </row>
    <row r="13">
      <c r="A13" s="73">
        <f>IF(Lists!$A$11="","",Lists!$A$11)</f>
        <v/>
      </c>
      <c r="B13" s="74">
        <f>IFERROR(IF(Lists!$A$11="","",INDEX(Database!$G:$G,MATCH(MAXIFS(Database!$A:$A,Database!$B:$B,Lists!$A$11),Database!$A:$A,0))),"")</f>
        <v/>
      </c>
      <c r="C13" s="74">
        <f>IFERROR(IF(Lists!$A$11="","",N(INDEX(Database!$Y:$Y,MATCH(MAXIFS(Database!$A:$A,Database!$B:$B,Lists!$A$11),Database!$A:$A,0)))+N(INDEX(Database!$AC:$AC,MATCH(MAXIFS(Database!$A:$A,Database!$B:$B,Lists!$A$11),Database!$A:$A,0)))+N(INDEX(Database!$AG:$AG,MATCH(MAXIFS(Database!$A:$A,Database!$B:$B,Lists!$A$11),Database!$A:$A,0)))+N(INDEX(Database!$AK:$AK,MATCH(MAXIFS(Database!$A:$A,Database!$B:$B,Lists!$A$11),Database!$A:$A,0)))),"")</f>
        <v/>
      </c>
      <c r="D13" s="74">
        <f>IFERROR(IF(Lists!$A$11="","",INDEX(Database!$L:$L,MATCH(MAXIFS(Database!$A:$A,Database!$B:$B,Lists!$A$11),Database!$A:$A,0))),"")</f>
        <v/>
      </c>
      <c r="E13" s="75">
        <f>IF(Lists!$A$11="","","-")</f>
        <v/>
      </c>
      <c r="F13" s="75">
        <f>IF(Lists!$A$11="","","-")</f>
        <v/>
      </c>
      <c r="G13" s="75">
        <f>IF(Lists!$A$11="","","-")</f>
        <v/>
      </c>
      <c r="H13" s="75">
        <f>IF(Lists!$A$11="","","-")</f>
        <v/>
      </c>
      <c r="I13" s="75">
        <f>IF(Lists!$A$11="","","-")</f>
        <v/>
      </c>
      <c r="J13" s="75">
        <f>IF(Lists!$A$11="","","-")</f>
        <v/>
      </c>
    </row>
    <row r="14">
      <c r="A14" s="73">
        <f>IF(Lists!$A$12="","",Lists!$A$12)</f>
        <v/>
      </c>
      <c r="B14" s="74">
        <f>IFERROR(IF(Lists!$A$12="","",INDEX(Database!$G:$G,MATCH(MAXIFS(Database!$A:$A,Database!$B:$B,Lists!$A$12),Database!$A:$A,0))),"")</f>
        <v/>
      </c>
      <c r="C14" s="74">
        <f>IFERROR(IF(Lists!$A$12="","",N(INDEX(Database!$Y:$Y,MATCH(MAXIFS(Database!$A:$A,Database!$B:$B,Lists!$A$12),Database!$A:$A,0)))+N(INDEX(Database!$AC:$AC,MATCH(MAXIFS(Database!$A:$A,Database!$B:$B,Lists!$A$12),Database!$A:$A,0)))+N(INDEX(Database!$AG:$AG,MATCH(MAXIFS(Database!$A:$A,Database!$B:$B,Lists!$A$12),Database!$A:$A,0)))+N(INDEX(Database!$AK:$AK,MATCH(MAXIFS(Database!$A:$A,Database!$B:$B,Lists!$A$12),Database!$A:$A,0)))),"")</f>
        <v/>
      </c>
      <c r="D14" s="74">
        <f>IFERROR(IF(Lists!$A$12="","",INDEX(Database!$L:$L,MATCH(MAXIFS(Database!$A:$A,Database!$B:$B,Lists!$A$12),Database!$A:$A,0))),"")</f>
        <v/>
      </c>
      <c r="E14" s="75">
        <f>IF(Lists!$A$12="","","-")</f>
        <v/>
      </c>
      <c r="F14" s="75">
        <f>IF(Lists!$A$12="","","-")</f>
        <v/>
      </c>
      <c r="G14" s="75">
        <f>IF(Lists!$A$12="","","-")</f>
        <v/>
      </c>
      <c r="H14" s="75">
        <f>IF(Lists!$A$12="","","-")</f>
        <v/>
      </c>
      <c r="I14" s="75">
        <f>IF(Lists!$A$12="","","-")</f>
        <v/>
      </c>
      <c r="J14" s="75">
        <f>IF(Lists!$A$12="","","-")</f>
        <v/>
      </c>
    </row>
    <row r="15">
      <c r="A15" s="73">
        <f>IF(Lists!$A$13="","",Lists!$A$13)</f>
        <v/>
      </c>
      <c r="B15" s="74">
        <f>IFERROR(IF(Lists!$A$13="","",INDEX(Database!$G:$G,MATCH(MAXIFS(Database!$A:$A,Database!$B:$B,Lists!$A$13),Database!$A:$A,0))),"")</f>
        <v/>
      </c>
      <c r="C15" s="74">
        <f>IFERROR(IF(Lists!$A$13="","",N(INDEX(Database!$Y:$Y,MATCH(MAXIFS(Database!$A:$A,Database!$B:$B,Lists!$A$13),Database!$A:$A,0)))+N(INDEX(Database!$AC:$AC,MATCH(MAXIFS(Database!$A:$A,Database!$B:$B,Lists!$A$13),Database!$A:$A,0)))+N(INDEX(Database!$AG:$AG,MATCH(MAXIFS(Database!$A:$A,Database!$B:$B,Lists!$A$13),Database!$A:$A,0)))+N(INDEX(Database!$AK:$AK,MATCH(MAXIFS(Database!$A:$A,Database!$B:$B,Lists!$A$13),Database!$A:$A,0)))),"")</f>
        <v/>
      </c>
      <c r="D15" s="74">
        <f>IFERROR(IF(Lists!$A$13="","",INDEX(Database!$L:$L,MATCH(MAXIFS(Database!$A:$A,Database!$B:$B,Lists!$A$13),Database!$A:$A,0))),"")</f>
        <v/>
      </c>
      <c r="E15" s="75">
        <f>IF(Lists!$A$13="","","-")</f>
        <v/>
      </c>
      <c r="F15" s="75">
        <f>IF(Lists!$A$13="","","-")</f>
        <v/>
      </c>
      <c r="G15" s="75">
        <f>IF(Lists!$A$13="","","-")</f>
        <v/>
      </c>
      <c r="H15" s="75">
        <f>IF(Lists!$A$13="","","-")</f>
        <v/>
      </c>
      <c r="I15" s="75">
        <f>IF(Lists!$A$13="","","-")</f>
        <v/>
      </c>
      <c r="J15" s="75">
        <f>IF(Lists!$A$13="","","-")</f>
        <v/>
      </c>
    </row>
    <row r="16">
      <c r="A16" s="73">
        <f>IF(Lists!$A$14="","",Lists!$A$14)</f>
        <v/>
      </c>
      <c r="B16" s="74">
        <f>IFERROR(IF(Lists!$A$14="","",INDEX(Database!$G:$G,MATCH(MAXIFS(Database!$A:$A,Database!$B:$B,Lists!$A$14),Database!$A:$A,0))),"")</f>
        <v/>
      </c>
      <c r="C16" s="74">
        <f>IFERROR(IF(Lists!$A$14="","",N(INDEX(Database!$Y:$Y,MATCH(MAXIFS(Database!$A:$A,Database!$B:$B,Lists!$A$14),Database!$A:$A,0)))+N(INDEX(Database!$AC:$AC,MATCH(MAXIFS(Database!$A:$A,Database!$B:$B,Lists!$A$14),Database!$A:$A,0)))+N(INDEX(Database!$AG:$AG,MATCH(MAXIFS(Database!$A:$A,Database!$B:$B,Lists!$A$14),Database!$A:$A,0)))+N(INDEX(Database!$AK:$AK,MATCH(MAXIFS(Database!$A:$A,Database!$B:$B,Lists!$A$14),Database!$A:$A,0)))),"")</f>
        <v/>
      </c>
      <c r="D16" s="74">
        <f>IFERROR(IF(Lists!$A$14="","",INDEX(Database!$L:$L,MATCH(MAXIFS(Database!$A:$A,Database!$B:$B,Lists!$A$14),Database!$A:$A,0))),"")</f>
        <v/>
      </c>
      <c r="E16" s="75">
        <f>IF(Lists!$A$14="","","-")</f>
        <v/>
      </c>
      <c r="F16" s="75">
        <f>IF(Lists!$A$14="","","-")</f>
        <v/>
      </c>
      <c r="G16" s="75">
        <f>IF(Lists!$A$14="","","-")</f>
        <v/>
      </c>
      <c r="H16" s="75">
        <f>IF(Lists!$A$14="","","-")</f>
        <v/>
      </c>
      <c r="I16" s="75">
        <f>IF(Lists!$A$14="","","-")</f>
        <v/>
      </c>
      <c r="J16" s="75">
        <f>IF(Lists!$A$14="","","-")</f>
        <v/>
      </c>
    </row>
    <row r="17">
      <c r="A17" s="73">
        <f>IF(Lists!$A$15="","",Lists!$A$15)</f>
        <v/>
      </c>
      <c r="B17" s="74">
        <f>IFERROR(IF(Lists!$A$15="","",INDEX(Database!$G:$G,MATCH(MAXIFS(Database!$A:$A,Database!$B:$B,Lists!$A$15),Database!$A:$A,0))),"")</f>
        <v/>
      </c>
      <c r="C17" s="74">
        <f>IFERROR(IF(Lists!$A$15="","",N(INDEX(Database!$Y:$Y,MATCH(MAXIFS(Database!$A:$A,Database!$B:$B,Lists!$A$15),Database!$A:$A,0)))+N(INDEX(Database!$AC:$AC,MATCH(MAXIFS(Database!$A:$A,Database!$B:$B,Lists!$A$15),Database!$A:$A,0)))+N(INDEX(Database!$AG:$AG,MATCH(MAXIFS(Database!$A:$A,Database!$B:$B,Lists!$A$15),Database!$A:$A,0)))+N(INDEX(Database!$AK:$AK,MATCH(MAXIFS(Database!$A:$A,Database!$B:$B,Lists!$A$15),Database!$A:$A,0)))),"")</f>
        <v/>
      </c>
      <c r="D17" s="74">
        <f>IFERROR(IF(Lists!$A$15="","",INDEX(Database!$L:$L,MATCH(MAXIFS(Database!$A:$A,Database!$B:$B,Lists!$A$15),Database!$A:$A,0))),"")</f>
        <v/>
      </c>
      <c r="E17" s="75">
        <f>IF(Lists!$A$15="","","-")</f>
        <v/>
      </c>
      <c r="F17" s="75">
        <f>IF(Lists!$A$15="","","-")</f>
        <v/>
      </c>
      <c r="G17" s="75">
        <f>IF(Lists!$A$15="","","-")</f>
        <v/>
      </c>
      <c r="H17" s="75">
        <f>IF(Lists!$A$15="","","-")</f>
        <v/>
      </c>
      <c r="I17" s="75">
        <f>IF(Lists!$A$15="","","-")</f>
        <v/>
      </c>
      <c r="J17" s="75">
        <f>IF(Lists!$A$15="","","-")</f>
        <v/>
      </c>
    </row>
    <row r="18">
      <c r="A18" s="73">
        <f>IF(Lists!$A$16="","",Lists!$A$16)</f>
        <v/>
      </c>
      <c r="B18" s="74">
        <f>IFERROR(IF(Lists!$A$16="","",INDEX(Database!$G:$G,MATCH(MAXIFS(Database!$A:$A,Database!$B:$B,Lists!$A$16),Database!$A:$A,0))),"")</f>
        <v/>
      </c>
      <c r="C18" s="74">
        <f>IFERROR(IF(Lists!$A$16="","",N(INDEX(Database!$Y:$Y,MATCH(MAXIFS(Database!$A:$A,Database!$B:$B,Lists!$A$16),Database!$A:$A,0)))+N(INDEX(Database!$AC:$AC,MATCH(MAXIFS(Database!$A:$A,Database!$B:$B,Lists!$A$16),Database!$A:$A,0)))+N(INDEX(Database!$AG:$AG,MATCH(MAXIFS(Database!$A:$A,Database!$B:$B,Lists!$A$16),Database!$A:$A,0)))+N(INDEX(Database!$AK:$AK,MATCH(MAXIFS(Database!$A:$A,Database!$B:$B,Lists!$A$16),Database!$A:$A,0)))),"")</f>
        <v/>
      </c>
      <c r="D18" s="74">
        <f>IFERROR(IF(Lists!$A$16="","",INDEX(Database!$L:$L,MATCH(MAXIFS(Database!$A:$A,Database!$B:$B,Lists!$A$16),Database!$A:$A,0))),"")</f>
        <v/>
      </c>
      <c r="E18" s="75">
        <f>IF(Lists!$A$16="","","-")</f>
        <v/>
      </c>
      <c r="F18" s="75">
        <f>IF(Lists!$A$16="","","-")</f>
        <v/>
      </c>
      <c r="G18" s="75">
        <f>IF(Lists!$A$16="","","-")</f>
        <v/>
      </c>
      <c r="H18" s="75">
        <f>IF(Lists!$A$16="","","-")</f>
        <v/>
      </c>
      <c r="I18" s="75">
        <f>IF(Lists!$A$16="","","-")</f>
        <v/>
      </c>
      <c r="J18" s="75">
        <f>IF(Lists!$A$16="","","-")</f>
        <v/>
      </c>
    </row>
    <row r="19">
      <c r="A19" s="73">
        <f>IF(Lists!$A$17="","",Lists!$A$17)</f>
        <v/>
      </c>
      <c r="B19" s="74">
        <f>IFERROR(IF(Lists!$A$17="","",INDEX(Database!$G:$G,MATCH(MAXIFS(Database!$A:$A,Database!$B:$B,Lists!$A$17),Database!$A:$A,0))),"")</f>
        <v/>
      </c>
      <c r="C19" s="74">
        <f>IFERROR(IF(Lists!$A$17="","",N(INDEX(Database!$Y:$Y,MATCH(MAXIFS(Database!$A:$A,Database!$B:$B,Lists!$A$17),Database!$A:$A,0)))+N(INDEX(Database!$AC:$AC,MATCH(MAXIFS(Database!$A:$A,Database!$B:$B,Lists!$A$17),Database!$A:$A,0)))+N(INDEX(Database!$AG:$AG,MATCH(MAXIFS(Database!$A:$A,Database!$B:$B,Lists!$A$17),Database!$A:$A,0)))+N(INDEX(Database!$AK:$AK,MATCH(MAXIFS(Database!$A:$A,Database!$B:$B,Lists!$A$17),Database!$A:$A,0)))),"")</f>
        <v/>
      </c>
      <c r="D19" s="74">
        <f>IFERROR(IF(Lists!$A$17="","",INDEX(Database!$L:$L,MATCH(MAXIFS(Database!$A:$A,Database!$B:$B,Lists!$A$17),Database!$A:$A,0))),"")</f>
        <v/>
      </c>
      <c r="E19" s="75">
        <f>IF(Lists!$A$17="","","-")</f>
        <v/>
      </c>
      <c r="F19" s="75">
        <f>IF(Lists!$A$17="","","-")</f>
        <v/>
      </c>
      <c r="G19" s="75">
        <f>IF(Lists!$A$17="","","-")</f>
        <v/>
      </c>
      <c r="H19" s="75">
        <f>IF(Lists!$A$17="","","-")</f>
        <v/>
      </c>
      <c r="I19" s="75">
        <f>IF(Lists!$A$17="","","-")</f>
        <v/>
      </c>
      <c r="J19" s="75">
        <f>IF(Lists!$A$17="","","-")</f>
        <v/>
      </c>
    </row>
    <row r="20">
      <c r="A20" s="73">
        <f>IF(Lists!$A$18="","",Lists!$A$18)</f>
        <v/>
      </c>
      <c r="B20" s="74">
        <f>IFERROR(IF(Lists!$A$18="","",INDEX(Database!$G:$G,MATCH(MAXIFS(Database!$A:$A,Database!$B:$B,Lists!$A$18),Database!$A:$A,0))),"")</f>
        <v/>
      </c>
      <c r="C20" s="74">
        <f>IFERROR(IF(Lists!$A$18="","",N(INDEX(Database!$Y:$Y,MATCH(MAXIFS(Database!$A:$A,Database!$B:$B,Lists!$A$18),Database!$A:$A,0)))+N(INDEX(Database!$AC:$AC,MATCH(MAXIFS(Database!$A:$A,Database!$B:$B,Lists!$A$18),Database!$A:$A,0)))+N(INDEX(Database!$AG:$AG,MATCH(MAXIFS(Database!$A:$A,Database!$B:$B,Lists!$A$18),Database!$A:$A,0)))+N(INDEX(Database!$AK:$AK,MATCH(MAXIFS(Database!$A:$A,Database!$B:$B,Lists!$A$18),Database!$A:$A,0)))),"")</f>
        <v/>
      </c>
      <c r="D20" s="74">
        <f>IFERROR(IF(Lists!$A$18="","",INDEX(Database!$L:$L,MATCH(MAXIFS(Database!$A:$A,Database!$B:$B,Lists!$A$18),Database!$A:$A,0))),"")</f>
        <v/>
      </c>
      <c r="E20" s="75">
        <f>IF(Lists!$A$18="","","-")</f>
        <v/>
      </c>
      <c r="F20" s="75">
        <f>IF(Lists!$A$18="","","-")</f>
        <v/>
      </c>
      <c r="G20" s="75">
        <f>IF(Lists!$A$18="","","-")</f>
        <v/>
      </c>
      <c r="H20" s="75">
        <f>IF(Lists!$A$18="","","-")</f>
        <v/>
      </c>
      <c r="I20" s="75">
        <f>IF(Lists!$A$18="","","-")</f>
        <v/>
      </c>
      <c r="J20" s="75">
        <f>IF(Lists!$A$18="","","-")</f>
        <v/>
      </c>
    </row>
    <row r="21">
      <c r="A21" s="73">
        <f>IF(Lists!$A$19="","",Lists!$A$19)</f>
        <v/>
      </c>
      <c r="B21" s="74">
        <f>IFERROR(IF(Lists!$A$19="","",INDEX(Database!$G:$G,MATCH(MAXIFS(Database!$A:$A,Database!$B:$B,Lists!$A$19),Database!$A:$A,0))),"")</f>
        <v/>
      </c>
      <c r="C21" s="74">
        <f>IFERROR(IF(Lists!$A$19="","",N(INDEX(Database!$Y:$Y,MATCH(MAXIFS(Database!$A:$A,Database!$B:$B,Lists!$A$19),Database!$A:$A,0)))+N(INDEX(Database!$AC:$AC,MATCH(MAXIFS(Database!$A:$A,Database!$B:$B,Lists!$A$19),Database!$A:$A,0)))+N(INDEX(Database!$AG:$AG,MATCH(MAXIFS(Database!$A:$A,Database!$B:$B,Lists!$A$19),Database!$A:$A,0)))+N(INDEX(Database!$AK:$AK,MATCH(MAXIFS(Database!$A:$A,Database!$B:$B,Lists!$A$19),Database!$A:$A,0)))),"")</f>
        <v/>
      </c>
      <c r="D21" s="74">
        <f>IFERROR(IF(Lists!$A$19="","",INDEX(Database!$L:$L,MATCH(MAXIFS(Database!$A:$A,Database!$B:$B,Lists!$A$19),Database!$A:$A,0))),"")</f>
        <v/>
      </c>
      <c r="E21" s="75">
        <f>IF(Lists!$A$19="","","-")</f>
        <v/>
      </c>
      <c r="F21" s="75">
        <f>IF(Lists!$A$19="","","-")</f>
        <v/>
      </c>
      <c r="G21" s="75">
        <f>IF(Lists!$A$19="","","-")</f>
        <v/>
      </c>
      <c r="H21" s="75">
        <f>IF(Lists!$A$19="","","-")</f>
        <v/>
      </c>
      <c r="I21" s="75">
        <f>IF(Lists!$A$19="","","-")</f>
        <v/>
      </c>
      <c r="J21" s="75">
        <f>IF(Lists!$A$19="","","-")</f>
        <v/>
      </c>
    </row>
    <row r="22">
      <c r="A22" s="73">
        <f>IF(Lists!$A$20="","",Lists!$A$20)</f>
        <v/>
      </c>
      <c r="B22" s="74">
        <f>IFERROR(IF(Lists!$A$20="","",INDEX(Database!$G:$G,MATCH(MAXIFS(Database!$A:$A,Database!$B:$B,Lists!$A$20),Database!$A:$A,0))),"")</f>
        <v/>
      </c>
      <c r="C22" s="74">
        <f>IFERROR(IF(Lists!$A$20="","",N(INDEX(Database!$Y:$Y,MATCH(MAXIFS(Database!$A:$A,Database!$B:$B,Lists!$A$20),Database!$A:$A,0)))+N(INDEX(Database!$AC:$AC,MATCH(MAXIFS(Database!$A:$A,Database!$B:$B,Lists!$A$20),Database!$A:$A,0)))+N(INDEX(Database!$AG:$AG,MATCH(MAXIFS(Database!$A:$A,Database!$B:$B,Lists!$A$20),Database!$A:$A,0)))+N(INDEX(Database!$AK:$AK,MATCH(MAXIFS(Database!$A:$A,Database!$B:$B,Lists!$A$20),Database!$A:$A,0)))),"")</f>
        <v/>
      </c>
      <c r="D22" s="74">
        <f>IFERROR(IF(Lists!$A$20="","",INDEX(Database!$L:$L,MATCH(MAXIFS(Database!$A:$A,Database!$B:$B,Lists!$A$20),Database!$A:$A,0))),"")</f>
        <v/>
      </c>
      <c r="E22" s="75">
        <f>IF(Lists!$A$20="","","-")</f>
        <v/>
      </c>
      <c r="F22" s="75">
        <f>IF(Lists!$A$20="","","-")</f>
        <v/>
      </c>
      <c r="G22" s="75">
        <f>IF(Lists!$A$20="","","-")</f>
        <v/>
      </c>
      <c r="H22" s="75">
        <f>IF(Lists!$A$20="","","-")</f>
        <v/>
      </c>
      <c r="I22" s="75">
        <f>IF(Lists!$A$20="","","-")</f>
        <v/>
      </c>
      <c r="J22" s="75">
        <f>IF(Lists!$A$20="","","-")</f>
        <v/>
      </c>
    </row>
    <row r="23">
      <c r="A23" s="73">
        <f>IF(Lists!$A$21="","",Lists!$A$21)</f>
        <v/>
      </c>
      <c r="B23" s="74">
        <f>IFERROR(IF(Lists!$A$21="","",INDEX(Database!$G:$G,MATCH(MAXIFS(Database!$A:$A,Database!$B:$B,Lists!$A$21),Database!$A:$A,0))),"")</f>
        <v/>
      </c>
      <c r="C23" s="74">
        <f>IFERROR(IF(Lists!$A$21="","",N(INDEX(Database!$Y:$Y,MATCH(MAXIFS(Database!$A:$A,Database!$B:$B,Lists!$A$21),Database!$A:$A,0)))+N(INDEX(Database!$AC:$AC,MATCH(MAXIFS(Database!$A:$A,Database!$B:$B,Lists!$A$21),Database!$A:$A,0)))+N(INDEX(Database!$AG:$AG,MATCH(MAXIFS(Database!$A:$A,Database!$B:$B,Lists!$A$21),Database!$A:$A,0)))+N(INDEX(Database!$AK:$AK,MATCH(MAXIFS(Database!$A:$A,Database!$B:$B,Lists!$A$21),Database!$A:$A,0)))),"")</f>
        <v/>
      </c>
      <c r="D23" s="74">
        <f>IFERROR(IF(Lists!$A$21="","",INDEX(Database!$L:$L,MATCH(MAXIFS(Database!$A:$A,Database!$B:$B,Lists!$A$21),Database!$A:$A,0))),"")</f>
        <v/>
      </c>
      <c r="E23" s="75">
        <f>IF(Lists!$A$21="","","-")</f>
        <v/>
      </c>
      <c r="F23" s="75">
        <f>IF(Lists!$A$21="","","-")</f>
        <v/>
      </c>
      <c r="G23" s="75">
        <f>IF(Lists!$A$21="","","-")</f>
        <v/>
      </c>
      <c r="H23" s="75">
        <f>IF(Lists!$A$21="","","-")</f>
        <v/>
      </c>
      <c r="I23" s="75">
        <f>IF(Lists!$A$21="","","-")</f>
        <v/>
      </c>
      <c r="J23" s="75">
        <f>IF(Lists!$A$21="","","-")</f>
        <v/>
      </c>
    </row>
    <row r="24">
      <c r="A24" s="54" t="inlineStr">
        <is>
          <t>PORTFOLIO TOTAL</t>
        </is>
      </c>
      <c r="C24" s="76">
        <f>SUM(C4:C23)</f>
        <v/>
      </c>
      <c r="D24" s="76">
        <f>SUM(D4:D23)</f>
        <v/>
      </c>
    </row>
    <row r="26">
      <c r="A26" s="8" t="inlineStr">
        <is>
          <t>Note: EGR/NOI/cost $ roll-ups recompute from each project's stored inputs (DB holds raw assumptions); wired fully alongside the calc engine next pass.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sheetData>
    <row r="1">
      <c r="A1" s="62" t="inlineStr">
        <is>
          <t>PROJECT DASHBOARD  -  read-only single-project view (printable)</t>
        </is>
      </c>
    </row>
    <row r="3">
      <c r="A3" s="14" t="inlineStr">
        <is>
          <t>Project</t>
        </is>
      </c>
      <c r="B3" s="13" t="inlineStr">
        <is>
          <t>RAD 1</t>
        </is>
      </c>
    </row>
    <row r="5">
      <c r="A5" s="63" t="inlineStr">
        <is>
          <t>Renders the operating proforma for the selected project from the database latest record. (Full recompute wired with the calc engine next pass.)</t>
        </is>
      </c>
    </row>
    <row r="7">
      <c r="A7" s="77" t="inlineStr">
        <is>
          <t>Operating Proforma</t>
        </is>
      </c>
      <c r="B7" s="78" t="inlineStr">
        <is>
          <t>$ Annual</t>
        </is>
      </c>
    </row>
    <row r="8">
      <c r="A8" s="29" t="inlineStr">
        <is>
          <t>Gross Potential Rent</t>
        </is>
      </c>
      <c r="B8" s="59">
        <f>"-"</f>
        <v/>
      </c>
    </row>
    <row r="9">
      <c r="A9" s="29" t="inlineStr">
        <is>
          <t>Effective Rental Revenue</t>
        </is>
      </c>
      <c r="B9" s="59">
        <f>"-"</f>
        <v/>
      </c>
    </row>
    <row r="10">
      <c r="A10" s="29" t="inlineStr">
        <is>
          <t>Other Income</t>
        </is>
      </c>
      <c r="B10" s="59">
        <f>"-"</f>
        <v/>
      </c>
    </row>
    <row r="11">
      <c r="A11" s="29" t="inlineStr">
        <is>
          <t>Effective Gross Revenue (EGR)</t>
        </is>
      </c>
      <c r="B11" s="59">
        <f>"-"</f>
        <v/>
      </c>
    </row>
    <row r="12">
      <c r="A12" s="29" t="inlineStr">
        <is>
          <t>Total Operating Expenses</t>
        </is>
      </c>
      <c r="B12" s="59">
        <f>"-"</f>
        <v/>
      </c>
    </row>
    <row r="13">
      <c r="A13" s="29" t="inlineStr">
        <is>
          <t>Net Operating Income</t>
        </is>
      </c>
      <c r="B13" s="59">
        <f>"-"</f>
        <v/>
      </c>
    </row>
    <row r="14">
      <c r="A14" s="29" t="inlineStr">
        <is>
          <t>OpEx Ratio</t>
        </is>
      </c>
      <c r="B14" s="61">
        <f>"-"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B3" showDropDown="0" showInputMessage="0" showErrorMessage="0" allowBlank="0" type="list">
      <formula1>=Project_List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7"/>
  <sheetViews>
    <sheetView showGridLines="0" workbookViewId="0">
      <selection activeCell="A1" sqref="A1"/>
    </sheetView>
  </sheetViews>
  <sheetFormatPr baseColWidth="8" defaultRowHeight="15"/>
  <sheetData>
    <row r="1">
      <c r="A1" s="79" t="inlineStr">
        <is>
          <t>MONTHLY CF  -  FUTURE calc engine placeholder (date spine only this pass)</t>
        </is>
      </c>
    </row>
    <row r="2">
      <c r="A2" s="63" t="inlineStr">
        <is>
          <t>Spine driven by the Console closing date for the selected project. Operating CFs / capital costs / unlevered CFs plug in below later.</t>
        </is>
      </c>
    </row>
    <row r="4">
      <c r="A4" s="14" t="inlineStr">
        <is>
          <t>Closing date (from Console)</t>
        </is>
      </c>
      <c r="B4" s="17">
        <f>Closing_Date_Cell</f>
        <v/>
      </c>
    </row>
    <row r="6">
      <c r="A6" s="14" t="inlineStr">
        <is>
          <t>Month index</t>
        </is>
      </c>
      <c r="C6" s="80" t="n">
        <v>1</v>
      </c>
      <c r="D6" s="80" t="n">
        <v>2</v>
      </c>
      <c r="E6" s="80" t="n">
        <v>3</v>
      </c>
      <c r="F6" s="80" t="n">
        <v>4</v>
      </c>
      <c r="G6" s="80" t="n">
        <v>5</v>
      </c>
      <c r="H6" s="80" t="n">
        <v>6</v>
      </c>
      <c r="I6" s="80" t="n">
        <v>7</v>
      </c>
      <c r="J6" s="80" t="n">
        <v>8</v>
      </c>
      <c r="K6" s="80" t="n">
        <v>9</v>
      </c>
      <c r="L6" s="80" t="n">
        <v>10</v>
      </c>
      <c r="M6" s="80" t="n">
        <v>11</v>
      </c>
      <c r="N6" s="80" t="n">
        <v>12</v>
      </c>
      <c r="O6" s="80" t="n">
        <v>13</v>
      </c>
      <c r="P6" s="80" t="n">
        <v>14</v>
      </c>
      <c r="Q6" s="80" t="n">
        <v>15</v>
      </c>
      <c r="R6" s="80" t="n">
        <v>16</v>
      </c>
      <c r="S6" s="80" t="n">
        <v>17</v>
      </c>
      <c r="T6" s="80" t="n">
        <v>18</v>
      </c>
      <c r="U6" s="80" t="n">
        <v>19</v>
      </c>
      <c r="V6" s="80" t="n">
        <v>20</v>
      </c>
      <c r="W6" s="80" t="n">
        <v>21</v>
      </c>
      <c r="X6" s="80" t="n">
        <v>22</v>
      </c>
      <c r="Y6" s="80" t="n">
        <v>23</v>
      </c>
      <c r="Z6" s="80" t="n">
        <v>24</v>
      </c>
      <c r="AA6" s="80" t="n">
        <v>25</v>
      </c>
      <c r="AB6" s="80" t="n">
        <v>26</v>
      </c>
      <c r="AC6" s="80" t="n">
        <v>27</v>
      </c>
      <c r="AD6" s="80" t="n">
        <v>28</v>
      </c>
      <c r="AE6" s="80" t="n">
        <v>29</v>
      </c>
      <c r="AF6" s="80" t="n">
        <v>30</v>
      </c>
      <c r="AG6" s="80" t="n">
        <v>31</v>
      </c>
      <c r="AH6" s="80" t="n">
        <v>32</v>
      </c>
      <c r="AI6" s="80" t="n">
        <v>33</v>
      </c>
      <c r="AJ6" s="80" t="n">
        <v>34</v>
      </c>
      <c r="AK6" s="80" t="n">
        <v>35</v>
      </c>
      <c r="AL6" s="80" t="n">
        <v>36</v>
      </c>
      <c r="AM6" s="80" t="n">
        <v>37</v>
      </c>
      <c r="AN6" s="80" t="n">
        <v>38</v>
      </c>
      <c r="AO6" s="80" t="n">
        <v>39</v>
      </c>
      <c r="AP6" s="80" t="n">
        <v>40</v>
      </c>
      <c r="AQ6" s="80" t="n">
        <v>41</v>
      </c>
      <c r="AR6" s="80" t="n">
        <v>42</v>
      </c>
      <c r="AS6" s="80" t="n">
        <v>43</v>
      </c>
      <c r="AT6" s="80" t="n">
        <v>44</v>
      </c>
      <c r="AU6" s="80" t="n">
        <v>45</v>
      </c>
      <c r="AV6" s="80" t="n">
        <v>46</v>
      </c>
      <c r="AW6" s="80" t="n">
        <v>47</v>
      </c>
      <c r="AX6" s="80" t="n">
        <v>48</v>
      </c>
      <c r="AY6" s="80" t="n">
        <v>49</v>
      </c>
      <c r="AZ6" s="80" t="n">
        <v>50</v>
      </c>
      <c r="BA6" s="80" t="n">
        <v>51</v>
      </c>
      <c r="BB6" s="80" t="n">
        <v>52</v>
      </c>
      <c r="BC6" s="80" t="n">
        <v>53</v>
      </c>
      <c r="BD6" s="80" t="n">
        <v>54</v>
      </c>
      <c r="BE6" s="80" t="n">
        <v>55</v>
      </c>
      <c r="BF6" s="80" t="n">
        <v>56</v>
      </c>
      <c r="BG6" s="80" t="n">
        <v>57</v>
      </c>
      <c r="BH6" s="80" t="n">
        <v>58</v>
      </c>
      <c r="BI6" s="80" t="n">
        <v>59</v>
      </c>
      <c r="BJ6" s="80" t="n">
        <v>60</v>
      </c>
      <c r="BK6" s="80" t="n">
        <v>61</v>
      </c>
      <c r="BL6" s="80" t="n">
        <v>62</v>
      </c>
      <c r="BM6" s="80" t="n">
        <v>63</v>
      </c>
      <c r="BN6" s="80" t="n">
        <v>64</v>
      </c>
      <c r="BO6" s="80" t="n">
        <v>65</v>
      </c>
      <c r="BP6" s="80" t="n">
        <v>66</v>
      </c>
      <c r="BQ6" s="80" t="n">
        <v>67</v>
      </c>
      <c r="BR6" s="80" t="n">
        <v>68</v>
      </c>
      <c r="BS6" s="80" t="n">
        <v>69</v>
      </c>
      <c r="BT6" s="80" t="n">
        <v>70</v>
      </c>
      <c r="BU6" s="80" t="n">
        <v>71</v>
      </c>
      <c r="BV6" s="80" t="n">
        <v>72</v>
      </c>
      <c r="BW6" s="80" t="n">
        <v>73</v>
      </c>
      <c r="BX6" s="80" t="n">
        <v>74</v>
      </c>
      <c r="BY6" s="80" t="n">
        <v>75</v>
      </c>
      <c r="BZ6" s="80" t="n">
        <v>76</v>
      </c>
      <c r="CA6" s="80" t="n">
        <v>77</v>
      </c>
      <c r="CB6" s="80" t="n">
        <v>78</v>
      </c>
      <c r="CC6" s="80" t="n">
        <v>79</v>
      </c>
      <c r="CD6" s="80" t="n">
        <v>80</v>
      </c>
      <c r="CE6" s="80" t="n">
        <v>81</v>
      </c>
      <c r="CF6" s="80" t="n">
        <v>82</v>
      </c>
      <c r="CG6" s="80" t="n">
        <v>83</v>
      </c>
      <c r="CH6" s="80" t="n">
        <v>84</v>
      </c>
      <c r="CI6" s="80" t="n">
        <v>85</v>
      </c>
      <c r="CJ6" s="80" t="n">
        <v>86</v>
      </c>
      <c r="CK6" s="80" t="n">
        <v>87</v>
      </c>
      <c r="CL6" s="80" t="n">
        <v>88</v>
      </c>
      <c r="CM6" s="80" t="n">
        <v>89</v>
      </c>
      <c r="CN6" s="80" t="n">
        <v>90</v>
      </c>
      <c r="CO6" s="80" t="n">
        <v>91</v>
      </c>
      <c r="CP6" s="80" t="n">
        <v>92</v>
      </c>
      <c r="CQ6" s="80" t="n">
        <v>93</v>
      </c>
      <c r="CR6" s="80" t="n">
        <v>94</v>
      </c>
      <c r="CS6" s="80" t="n">
        <v>95</v>
      </c>
      <c r="CT6" s="80" t="n">
        <v>96</v>
      </c>
      <c r="CU6" s="80" t="n">
        <v>97</v>
      </c>
      <c r="CV6" s="80" t="n">
        <v>98</v>
      </c>
      <c r="CW6" s="80" t="n">
        <v>99</v>
      </c>
      <c r="CX6" s="80" t="n">
        <v>100</v>
      </c>
      <c r="CY6" s="80" t="n">
        <v>101</v>
      </c>
      <c r="CZ6" s="80" t="n">
        <v>102</v>
      </c>
      <c r="DA6" s="80" t="n">
        <v>103</v>
      </c>
      <c r="DB6" s="80" t="n">
        <v>104</v>
      </c>
      <c r="DC6" s="80" t="n">
        <v>105</v>
      </c>
      <c r="DD6" s="80" t="n">
        <v>106</v>
      </c>
      <c r="DE6" s="80" t="n">
        <v>107</v>
      </c>
      <c r="DF6" s="80" t="n">
        <v>108</v>
      </c>
      <c r="DG6" s="80" t="n">
        <v>109</v>
      </c>
      <c r="DH6" s="80" t="n">
        <v>110</v>
      </c>
      <c r="DI6" s="80" t="n">
        <v>111</v>
      </c>
      <c r="DJ6" s="80" t="n">
        <v>112</v>
      </c>
      <c r="DK6" s="80" t="n">
        <v>113</v>
      </c>
      <c r="DL6" s="80" t="n">
        <v>114</v>
      </c>
      <c r="DM6" s="80" t="n">
        <v>115</v>
      </c>
      <c r="DN6" s="80" t="n">
        <v>116</v>
      </c>
      <c r="DO6" s="80" t="n">
        <v>117</v>
      </c>
      <c r="DP6" s="80" t="n">
        <v>118</v>
      </c>
      <c r="DQ6" s="80" t="n">
        <v>119</v>
      </c>
      <c r="DR6" s="80" t="n">
        <v>120</v>
      </c>
    </row>
    <row r="7">
      <c r="A7" s="14" t="inlineStr">
        <is>
          <t>Month start</t>
        </is>
      </c>
      <c r="C7" s="81">
        <f>EDATE($B$4,0)</f>
        <v/>
      </c>
      <c r="D7" s="81">
        <f>EDATE($B$4,1)</f>
        <v/>
      </c>
      <c r="E7" s="81">
        <f>EDATE($B$4,2)</f>
        <v/>
      </c>
      <c r="F7" s="81">
        <f>EDATE($B$4,3)</f>
        <v/>
      </c>
      <c r="G7" s="81">
        <f>EDATE($B$4,4)</f>
        <v/>
      </c>
      <c r="H7" s="81">
        <f>EDATE($B$4,5)</f>
        <v/>
      </c>
      <c r="I7" s="81">
        <f>EDATE($B$4,6)</f>
        <v/>
      </c>
      <c r="J7" s="81">
        <f>EDATE($B$4,7)</f>
        <v/>
      </c>
      <c r="K7" s="81">
        <f>EDATE($B$4,8)</f>
        <v/>
      </c>
      <c r="L7" s="81">
        <f>EDATE($B$4,9)</f>
        <v/>
      </c>
      <c r="M7" s="81">
        <f>EDATE($B$4,10)</f>
        <v/>
      </c>
      <c r="N7" s="81">
        <f>EDATE($B$4,11)</f>
        <v/>
      </c>
      <c r="O7" s="81">
        <f>EDATE($B$4,12)</f>
        <v/>
      </c>
      <c r="P7" s="81">
        <f>EDATE($B$4,13)</f>
        <v/>
      </c>
      <c r="Q7" s="81">
        <f>EDATE($B$4,14)</f>
        <v/>
      </c>
      <c r="R7" s="81">
        <f>EDATE($B$4,15)</f>
        <v/>
      </c>
      <c r="S7" s="81">
        <f>EDATE($B$4,16)</f>
        <v/>
      </c>
      <c r="T7" s="81">
        <f>EDATE($B$4,17)</f>
        <v/>
      </c>
      <c r="U7" s="81">
        <f>EDATE($B$4,18)</f>
        <v/>
      </c>
      <c r="V7" s="81">
        <f>EDATE($B$4,19)</f>
        <v/>
      </c>
      <c r="W7" s="81">
        <f>EDATE($B$4,20)</f>
        <v/>
      </c>
      <c r="X7" s="81">
        <f>EDATE($B$4,21)</f>
        <v/>
      </c>
      <c r="Y7" s="81">
        <f>EDATE($B$4,22)</f>
        <v/>
      </c>
      <c r="Z7" s="81">
        <f>EDATE($B$4,23)</f>
        <v/>
      </c>
      <c r="AA7" s="81">
        <f>EDATE($B$4,24)</f>
        <v/>
      </c>
      <c r="AB7" s="81">
        <f>EDATE($B$4,25)</f>
        <v/>
      </c>
      <c r="AC7" s="81">
        <f>EDATE($B$4,26)</f>
        <v/>
      </c>
      <c r="AD7" s="81">
        <f>EDATE($B$4,27)</f>
        <v/>
      </c>
      <c r="AE7" s="81">
        <f>EDATE($B$4,28)</f>
        <v/>
      </c>
      <c r="AF7" s="81">
        <f>EDATE($B$4,29)</f>
        <v/>
      </c>
      <c r="AG7" s="81">
        <f>EDATE($B$4,30)</f>
        <v/>
      </c>
      <c r="AH7" s="81">
        <f>EDATE($B$4,31)</f>
        <v/>
      </c>
      <c r="AI7" s="81">
        <f>EDATE($B$4,32)</f>
        <v/>
      </c>
      <c r="AJ7" s="81">
        <f>EDATE($B$4,33)</f>
        <v/>
      </c>
      <c r="AK7" s="81">
        <f>EDATE($B$4,34)</f>
        <v/>
      </c>
      <c r="AL7" s="81">
        <f>EDATE($B$4,35)</f>
        <v/>
      </c>
      <c r="AM7" s="81">
        <f>EDATE($B$4,36)</f>
        <v/>
      </c>
      <c r="AN7" s="81">
        <f>EDATE($B$4,37)</f>
        <v/>
      </c>
      <c r="AO7" s="81">
        <f>EDATE($B$4,38)</f>
        <v/>
      </c>
      <c r="AP7" s="81">
        <f>EDATE($B$4,39)</f>
        <v/>
      </c>
      <c r="AQ7" s="81">
        <f>EDATE($B$4,40)</f>
        <v/>
      </c>
      <c r="AR7" s="81">
        <f>EDATE($B$4,41)</f>
        <v/>
      </c>
      <c r="AS7" s="81">
        <f>EDATE($B$4,42)</f>
        <v/>
      </c>
      <c r="AT7" s="81">
        <f>EDATE($B$4,43)</f>
        <v/>
      </c>
      <c r="AU7" s="81">
        <f>EDATE($B$4,44)</f>
        <v/>
      </c>
      <c r="AV7" s="81">
        <f>EDATE($B$4,45)</f>
        <v/>
      </c>
      <c r="AW7" s="81">
        <f>EDATE($B$4,46)</f>
        <v/>
      </c>
      <c r="AX7" s="81">
        <f>EDATE($B$4,47)</f>
        <v/>
      </c>
      <c r="AY7" s="81">
        <f>EDATE($B$4,48)</f>
        <v/>
      </c>
      <c r="AZ7" s="81">
        <f>EDATE($B$4,49)</f>
        <v/>
      </c>
      <c r="BA7" s="81">
        <f>EDATE($B$4,50)</f>
        <v/>
      </c>
      <c r="BB7" s="81">
        <f>EDATE($B$4,51)</f>
        <v/>
      </c>
      <c r="BC7" s="81">
        <f>EDATE($B$4,52)</f>
        <v/>
      </c>
      <c r="BD7" s="81">
        <f>EDATE($B$4,53)</f>
        <v/>
      </c>
      <c r="BE7" s="81">
        <f>EDATE($B$4,54)</f>
        <v/>
      </c>
      <c r="BF7" s="81">
        <f>EDATE($B$4,55)</f>
        <v/>
      </c>
      <c r="BG7" s="81">
        <f>EDATE($B$4,56)</f>
        <v/>
      </c>
      <c r="BH7" s="81">
        <f>EDATE($B$4,57)</f>
        <v/>
      </c>
      <c r="BI7" s="81">
        <f>EDATE($B$4,58)</f>
        <v/>
      </c>
      <c r="BJ7" s="81">
        <f>EDATE($B$4,59)</f>
        <v/>
      </c>
      <c r="BK7" s="81">
        <f>EDATE($B$4,60)</f>
        <v/>
      </c>
      <c r="BL7" s="81">
        <f>EDATE($B$4,61)</f>
        <v/>
      </c>
      <c r="BM7" s="81">
        <f>EDATE($B$4,62)</f>
        <v/>
      </c>
      <c r="BN7" s="81">
        <f>EDATE($B$4,63)</f>
        <v/>
      </c>
      <c r="BO7" s="81">
        <f>EDATE($B$4,64)</f>
        <v/>
      </c>
      <c r="BP7" s="81">
        <f>EDATE($B$4,65)</f>
        <v/>
      </c>
      <c r="BQ7" s="81">
        <f>EDATE($B$4,66)</f>
        <v/>
      </c>
      <c r="BR7" s="81">
        <f>EDATE($B$4,67)</f>
        <v/>
      </c>
      <c r="BS7" s="81">
        <f>EDATE($B$4,68)</f>
        <v/>
      </c>
      <c r="BT7" s="81">
        <f>EDATE($B$4,69)</f>
        <v/>
      </c>
      <c r="BU7" s="81">
        <f>EDATE($B$4,70)</f>
        <v/>
      </c>
      <c r="BV7" s="81">
        <f>EDATE($B$4,71)</f>
        <v/>
      </c>
      <c r="BW7" s="81">
        <f>EDATE($B$4,72)</f>
        <v/>
      </c>
      <c r="BX7" s="81">
        <f>EDATE($B$4,73)</f>
        <v/>
      </c>
      <c r="BY7" s="81">
        <f>EDATE($B$4,74)</f>
        <v/>
      </c>
      <c r="BZ7" s="81">
        <f>EDATE($B$4,75)</f>
        <v/>
      </c>
      <c r="CA7" s="81">
        <f>EDATE($B$4,76)</f>
        <v/>
      </c>
      <c r="CB7" s="81">
        <f>EDATE($B$4,77)</f>
        <v/>
      </c>
      <c r="CC7" s="81">
        <f>EDATE($B$4,78)</f>
        <v/>
      </c>
      <c r="CD7" s="81">
        <f>EDATE($B$4,79)</f>
        <v/>
      </c>
      <c r="CE7" s="81">
        <f>EDATE($B$4,80)</f>
        <v/>
      </c>
      <c r="CF7" s="81">
        <f>EDATE($B$4,81)</f>
        <v/>
      </c>
      <c r="CG7" s="81">
        <f>EDATE($B$4,82)</f>
        <v/>
      </c>
      <c r="CH7" s="81">
        <f>EDATE($B$4,83)</f>
        <v/>
      </c>
      <c r="CI7" s="81">
        <f>EDATE($B$4,84)</f>
        <v/>
      </c>
      <c r="CJ7" s="81">
        <f>EDATE($B$4,85)</f>
        <v/>
      </c>
      <c r="CK7" s="81">
        <f>EDATE($B$4,86)</f>
        <v/>
      </c>
      <c r="CL7" s="81">
        <f>EDATE($B$4,87)</f>
        <v/>
      </c>
      <c r="CM7" s="81">
        <f>EDATE($B$4,88)</f>
        <v/>
      </c>
      <c r="CN7" s="81">
        <f>EDATE($B$4,89)</f>
        <v/>
      </c>
      <c r="CO7" s="81">
        <f>EDATE($B$4,90)</f>
        <v/>
      </c>
      <c r="CP7" s="81">
        <f>EDATE($B$4,91)</f>
        <v/>
      </c>
      <c r="CQ7" s="81">
        <f>EDATE($B$4,92)</f>
        <v/>
      </c>
      <c r="CR7" s="81">
        <f>EDATE($B$4,93)</f>
        <v/>
      </c>
      <c r="CS7" s="81">
        <f>EDATE($B$4,94)</f>
        <v/>
      </c>
      <c r="CT7" s="81">
        <f>EDATE($B$4,95)</f>
        <v/>
      </c>
      <c r="CU7" s="81">
        <f>EDATE($B$4,96)</f>
        <v/>
      </c>
      <c r="CV7" s="81">
        <f>EDATE($B$4,97)</f>
        <v/>
      </c>
      <c r="CW7" s="81">
        <f>EDATE($B$4,98)</f>
        <v/>
      </c>
      <c r="CX7" s="81">
        <f>EDATE($B$4,99)</f>
        <v/>
      </c>
      <c r="CY7" s="81">
        <f>EDATE($B$4,100)</f>
        <v/>
      </c>
      <c r="CZ7" s="81">
        <f>EDATE($B$4,101)</f>
        <v/>
      </c>
      <c r="DA7" s="81">
        <f>EDATE($B$4,102)</f>
        <v/>
      </c>
      <c r="DB7" s="81">
        <f>EDATE($B$4,103)</f>
        <v/>
      </c>
      <c r="DC7" s="81">
        <f>EDATE($B$4,104)</f>
        <v/>
      </c>
      <c r="DD7" s="81">
        <f>EDATE($B$4,105)</f>
        <v/>
      </c>
      <c r="DE7" s="81">
        <f>EDATE($B$4,106)</f>
        <v/>
      </c>
      <c r="DF7" s="81">
        <f>EDATE($B$4,107)</f>
        <v/>
      </c>
      <c r="DG7" s="81">
        <f>EDATE($B$4,108)</f>
        <v/>
      </c>
      <c r="DH7" s="81">
        <f>EDATE($B$4,109)</f>
        <v/>
      </c>
      <c r="DI7" s="81">
        <f>EDATE($B$4,110)</f>
        <v/>
      </c>
      <c r="DJ7" s="81">
        <f>EDATE($B$4,111)</f>
        <v/>
      </c>
      <c r="DK7" s="81">
        <f>EDATE($B$4,112)</f>
        <v/>
      </c>
      <c r="DL7" s="81">
        <f>EDATE($B$4,113)</f>
        <v/>
      </c>
      <c r="DM7" s="81">
        <f>EDATE($B$4,114)</f>
        <v/>
      </c>
      <c r="DN7" s="81">
        <f>EDATE($B$4,115)</f>
        <v/>
      </c>
      <c r="DO7" s="81">
        <f>EDATE($B$4,116)</f>
        <v/>
      </c>
      <c r="DP7" s="81">
        <f>EDATE($B$4,117)</f>
        <v/>
      </c>
      <c r="DQ7" s="81">
        <f>EDATE($B$4,118)</f>
        <v/>
      </c>
      <c r="DR7" s="81">
        <f>EDATE($B$4,119)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Project</t>
        </is>
      </c>
      <c r="B1" s="82" t="inlineStr">
        <is>
          <t>Status</t>
        </is>
      </c>
      <c r="C1" s="82" t="inlineStr">
        <is>
          <t>UnitType</t>
        </is>
      </c>
      <c r="D1" s="82" t="inlineStr">
        <is>
          <t>RentBasis</t>
        </is>
      </c>
      <c r="E1" s="82" t="inlineStr">
        <is>
          <t>YesNo</t>
        </is>
      </c>
      <c r="F1" s="82" t="inlineStr">
        <is>
          <t>RentType</t>
        </is>
      </c>
      <c r="G1" s="82" t="inlineStr">
        <is>
          <t>CostCurve</t>
        </is>
      </c>
    </row>
    <row r="2">
      <c r="A2" s="83" t="inlineStr">
        <is>
          <t>RAD 1</t>
        </is>
      </c>
      <c r="B2" s="83" t="inlineStr">
        <is>
          <t>Current</t>
        </is>
      </c>
      <c r="C2" s="83" t="inlineStr">
        <is>
          <t>Studio</t>
        </is>
      </c>
      <c r="D2" s="83" t="inlineStr">
        <is>
          <t>Market</t>
        </is>
      </c>
      <c r="E2" s="83" t="inlineStr">
        <is>
          <t>Yes</t>
        </is>
      </c>
      <c r="F2" s="83" t="inlineStr">
        <is>
          <t>NNN</t>
        </is>
      </c>
      <c r="G2" s="83" t="inlineStr">
        <is>
          <t>S-curve</t>
        </is>
      </c>
    </row>
    <row r="3">
      <c r="A3" s="83" t="inlineStr">
        <is>
          <t>RAD 2</t>
        </is>
      </c>
      <c r="B3" s="83" t="inlineStr">
        <is>
          <t>Historical</t>
        </is>
      </c>
      <c r="C3" s="83" t="inlineStr">
        <is>
          <t>1 Bedroom</t>
        </is>
      </c>
      <c r="D3" s="83" t="inlineStr">
        <is>
          <t>Live Local</t>
        </is>
      </c>
      <c r="E3" s="83" t="inlineStr">
        <is>
          <t>No</t>
        </is>
      </c>
      <c r="F3" s="83" t="inlineStr">
        <is>
          <t>Gross</t>
        </is>
      </c>
      <c r="G3" s="83" t="inlineStr">
        <is>
          <t>Straight</t>
        </is>
      </c>
    </row>
    <row r="4">
      <c r="A4" s="83" t="inlineStr">
        <is>
          <t>Live Local A</t>
        </is>
      </c>
      <c r="C4" s="83" t="inlineStr">
        <is>
          <t>2 Bedroom</t>
        </is>
      </c>
      <c r="D4" s="83" t="inlineStr">
        <is>
          <t>LIHTC</t>
        </is>
      </c>
      <c r="G4" s="83" t="inlineStr">
        <is>
          <t>Front-loaded</t>
        </is>
      </c>
    </row>
    <row r="5">
      <c r="C5" s="83" t="inlineStr">
        <is>
          <t>3 Bedroom</t>
        </is>
      </c>
      <c r="D5" s="83" t="inlineStr">
        <is>
          <t>PBV</t>
        </is>
      </c>
      <c r="G5" s="83" t="inlineStr">
        <is>
          <t>Back-loaded</t>
        </is>
      </c>
    </row>
    <row r="6">
      <c r="D6" s="83" t="inlineStr">
        <is>
          <t>RAD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ARCHIVE  -  purged records (FIFO overflow). Recoverable, not hard-deleted.</t>
        </is>
      </c>
    </row>
    <row r="3">
      <c r="A3" s="84" t="inlineStr">
        <is>
          <t>RecordID</t>
        </is>
      </c>
      <c r="B3" s="84" t="inlineStr">
        <is>
          <t>Project</t>
        </is>
      </c>
      <c r="C3" s="84" t="inlineStr">
        <is>
          <t>Status</t>
        </is>
      </c>
      <c r="D3" s="84" t="inlineStr">
        <is>
          <t>Timestamp</t>
        </is>
      </c>
      <c r="E3" s="84" t="inlineStr">
        <is>
          <t>UpdatedBy</t>
        </is>
      </c>
      <c r="F3" s="84" t="inlineStr">
        <is>
          <t>Notes</t>
        </is>
      </c>
      <c r="G3" s="84" t="inlineStr">
        <is>
          <t>PhaseNo</t>
        </is>
      </c>
      <c r="H3" s="84" t="inlineStr">
        <is>
          <t>ProjectName</t>
        </is>
      </c>
      <c r="I3" s="84" t="inlineStr">
        <is>
          <t>LandAcres</t>
        </is>
      </c>
      <c r="J3" s="84" t="inlineStr">
        <is>
          <t>ClosingDate</t>
        </is>
      </c>
      <c r="K3" s="84" t="inlineStr">
        <is>
          <t>GSF</t>
        </is>
      </c>
      <c r="L3" s="84" t="inlineStr">
        <is>
          <t>NSF</t>
        </is>
      </c>
      <c r="M3" s="84" t="inlineStr">
        <is>
          <t>off_ConstStart</t>
        </is>
      </c>
      <c r="N3" s="84" t="inlineStr">
        <is>
          <t>off_InitOcc</t>
        </is>
      </c>
      <c r="O3" s="84" t="inlineStr">
        <is>
          <t>off_ConstEnd</t>
        </is>
      </c>
      <c r="P3" s="84" t="inlineStr">
        <is>
          <t>off_Stab</t>
        </is>
      </c>
      <c r="Q3" s="84" t="inlineStr">
        <is>
          <t>HasCommercial</t>
        </is>
      </c>
      <c r="R3" s="84" t="inlineStr">
        <is>
          <t>CommSF</t>
        </is>
      </c>
      <c r="S3" s="84" t="inlineStr">
        <is>
          <t>CommRentPSF</t>
        </is>
      </c>
      <c r="T3" s="84" t="inlineStr">
        <is>
          <t>CommEscalation</t>
        </is>
      </c>
      <c r="U3" s="84" t="inlineStr">
        <is>
          <t>CommAbatement</t>
        </is>
      </c>
      <c r="V3" s="84" t="inlineStr">
        <is>
          <t>CommVacancy</t>
        </is>
      </c>
      <c r="W3" s="84" t="inlineStr">
        <is>
          <t>CommOpExPSF</t>
        </is>
      </c>
      <c r="X3" s="84" t="inlineStr">
        <is>
          <t>UM1_Type</t>
        </is>
      </c>
      <c r="Y3" s="84" t="inlineStr">
        <is>
          <t>UM1_Count</t>
        </is>
      </c>
      <c r="Z3" s="84" t="inlineStr">
        <is>
          <t>UM1_AvgSF</t>
        </is>
      </c>
      <c r="AA3" s="84" t="inlineStr">
        <is>
          <t>UM1_PUPM</t>
        </is>
      </c>
      <c r="AB3" s="84" t="inlineStr">
        <is>
          <t>UM2_Type</t>
        </is>
      </c>
      <c r="AC3" s="84" t="inlineStr">
        <is>
          <t>UM2_Count</t>
        </is>
      </c>
      <c r="AD3" s="84" t="inlineStr">
        <is>
          <t>UM2_AvgSF</t>
        </is>
      </c>
      <c r="AE3" s="84" t="inlineStr">
        <is>
          <t>UM2_PUPM</t>
        </is>
      </c>
      <c r="AF3" s="84" t="inlineStr">
        <is>
          <t>UM3_Type</t>
        </is>
      </c>
      <c r="AG3" s="84" t="inlineStr">
        <is>
          <t>UM3_Count</t>
        </is>
      </c>
      <c r="AH3" s="84" t="inlineStr">
        <is>
          <t>UM3_AvgSF</t>
        </is>
      </c>
      <c r="AI3" s="84" t="inlineStr">
        <is>
          <t>UM3_PUPM</t>
        </is>
      </c>
      <c r="AJ3" s="84" t="inlineStr">
        <is>
          <t>UM4_Type</t>
        </is>
      </c>
      <c r="AK3" s="84" t="inlineStr">
        <is>
          <t>UM4_Count</t>
        </is>
      </c>
      <c r="AL3" s="84" t="inlineStr">
        <is>
          <t>UM4_AvgSF</t>
        </is>
      </c>
      <c r="AM3" s="84" t="inlineStr">
        <is>
          <t>UM4_PUPM</t>
        </is>
      </c>
      <c r="AN3" s="84" t="inlineStr">
        <is>
          <t>ResVacancy</t>
        </is>
      </c>
      <c r="AO3" s="84" t="inlineStr">
        <is>
          <t>ResConcessions</t>
        </is>
      </c>
      <c r="AP3" s="84" t="inlineStr">
        <is>
          <t>ResModel</t>
        </is>
      </c>
      <c r="AQ3" s="84" t="inlineStr">
        <is>
          <t>ResCollLoss</t>
        </is>
      </c>
      <c r="AR3" s="84" t="inlineStr">
        <is>
          <t>OI1_Name</t>
        </is>
      </c>
      <c r="AS3" s="84" t="inlineStr">
        <is>
          <t>OI1_PUPM</t>
        </is>
      </c>
      <c r="AT3" s="84" t="inlineStr">
        <is>
          <t>OI2_Name</t>
        </is>
      </c>
      <c r="AU3" s="84" t="inlineStr">
        <is>
          <t>OI2_PUPM</t>
        </is>
      </c>
      <c r="AV3" s="84" t="inlineStr">
        <is>
          <t>OI3_Name</t>
        </is>
      </c>
      <c r="AW3" s="84" t="inlineStr">
        <is>
          <t>OI3_PUPM</t>
        </is>
      </c>
      <c r="AX3" s="84" t="inlineStr">
        <is>
          <t>OI4_Name</t>
        </is>
      </c>
      <c r="AY3" s="84" t="inlineStr">
        <is>
          <t>OI4_PUPM</t>
        </is>
      </c>
      <c r="AZ3" s="84" t="inlineStr">
        <is>
          <t>OI5_Name</t>
        </is>
      </c>
      <c r="BA3" s="84" t="inlineStr">
        <is>
          <t>OI5_PUPM</t>
        </is>
      </c>
      <c r="BB3" s="84" t="inlineStr">
        <is>
          <t>OpEx_Payroll</t>
        </is>
      </c>
      <c r="BC3" s="84" t="inlineStr">
        <is>
          <t>OpEx_Marketing</t>
        </is>
      </c>
      <c r="BD3" s="84" t="inlineStr">
        <is>
          <t>OpEx_Admin</t>
        </is>
      </c>
      <c r="BE3" s="84" t="inlineStr">
        <is>
          <t>OpEx_ProfFees</t>
        </is>
      </c>
      <c r="BF3" s="84" t="inlineStr">
        <is>
          <t>OpEx_RM</t>
        </is>
      </c>
      <c r="BG3" s="84" t="inlineStr">
        <is>
          <t>OpEx_Utilities</t>
        </is>
      </c>
      <c r="BH3" s="84" t="inlineStr">
        <is>
          <t>OpEx_Insurance</t>
        </is>
      </c>
      <c r="BI3" s="84" t="inlineStr">
        <is>
          <t>OpEx_RETaxes</t>
        </is>
      </c>
      <c r="BJ3" s="84" t="inlineStr">
        <is>
          <t>OpEx_MgmtFeePct</t>
        </is>
      </c>
      <c r="BK3" s="84" t="inlineStr">
        <is>
          <t>Bud_Land</t>
        </is>
      </c>
      <c r="BL3" s="84" t="inlineStr">
        <is>
          <t>Bud_Shell</t>
        </is>
      </c>
      <c r="BM3" s="84" t="inlineStr">
        <is>
          <t>Bud_Sitework</t>
        </is>
      </c>
      <c r="BN3" s="84" t="inlineStr">
        <is>
          <t>Bud_Parking</t>
        </is>
      </c>
      <c r="BO3" s="84" t="inlineStr">
        <is>
          <t>Bud_FFE</t>
        </is>
      </c>
      <c r="BP3" s="84" t="inlineStr">
        <is>
          <t>Bud_GCFee</t>
        </is>
      </c>
      <c r="BQ3" s="84" t="inlineStr">
        <is>
          <t>Bud_AE</t>
        </is>
      </c>
      <c r="BR3" s="84" t="inlineStr">
        <is>
          <t>Bud_Permits</t>
        </is>
      </c>
      <c r="BS3" s="84" t="inlineStr">
        <is>
          <t>Bud_Legal</t>
        </is>
      </c>
      <c r="BT3" s="84" t="inlineStr">
        <is>
          <t>Bud_Mktg</t>
        </is>
      </c>
      <c r="BU3" s="84" t="inlineStr">
        <is>
          <t>Bud_DevFee</t>
        </is>
      </c>
      <c r="BV3" s="84" t="inlineStr">
        <is>
          <t>Bud_TaxIns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2026-06-23T08:15:12Z</dcterms:created>
  <dcterms:modified xmlns:dcterms="http://purl.org/dc/terms/" xmlns:xsi="http://www.w3.org/2001/XMLSchema-instance" xsi:type="dcterms:W3CDTF">2026-06-23T08:15:12Z</dcterms:modified>
</cp:coreProperties>
</file>