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in\Downloads\"/>
    </mc:Choice>
  </mc:AlternateContent>
  <xr:revisionPtr revIDLastSave="0" documentId="13_ncr:1_{868377EE-8166-4257-A97B-9C333174DC44}" xr6:coauthVersionLast="47" xr6:coauthVersionMax="47" xr10:uidLastSave="{00000000-0000-0000-0000-000000000000}"/>
  <bookViews>
    <workbookView xWindow="12710" yWindow="0" windowWidth="12980" windowHeight="15370" xr2:uid="{476104A4-3C81-4ACE-A098-D121AEFD3A44}"/>
  </bookViews>
  <sheets>
    <sheet name="Sheet1" sheetId="1" r:id="rId1"/>
    <sheet name="Sheet2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1" l="1"/>
  <c r="C31" i="1"/>
  <c r="J31" i="1" s="1"/>
  <c r="J33" i="1" s="1"/>
  <c r="J53" i="1" l="1"/>
  <c r="J54" i="1"/>
  <c r="J55" i="1"/>
  <c r="J56" i="1"/>
  <c r="J57" i="1"/>
  <c r="J58" i="1"/>
  <c r="J59" i="1"/>
  <c r="J60" i="1"/>
  <c r="J36" i="1"/>
  <c r="J34" i="1"/>
  <c r="J35" i="1"/>
  <c r="J37" i="1"/>
  <c r="E44" i="1"/>
  <c r="E56" i="1"/>
  <c r="E42" i="1"/>
  <c r="E54" i="1"/>
  <c r="E57" i="1"/>
  <c r="E58" i="1"/>
  <c r="E59" i="1"/>
  <c r="E55" i="1"/>
  <c r="E60" i="1"/>
  <c r="E43" i="1"/>
  <c r="E53" i="1"/>
  <c r="J46" i="1"/>
  <c r="E45" i="1"/>
  <c r="E46" i="1"/>
  <c r="J42" i="1"/>
  <c r="J43" i="1"/>
  <c r="J44" i="1"/>
  <c r="J45" i="1"/>
  <c r="D31" i="1"/>
  <c r="E31" i="1"/>
  <c r="E33" i="1" s="1"/>
  <c r="I31" i="1"/>
  <c r="J38" i="1" l="1"/>
  <c r="E36" i="1"/>
  <c r="E35" i="1"/>
  <c r="E34" i="1"/>
  <c r="E37" i="1"/>
  <c r="E47" i="1"/>
  <c r="J47" i="1"/>
  <c r="J49" i="1" l="1"/>
  <c r="J61" i="1" s="1"/>
  <c r="J62" i="1" s="1"/>
  <c r="J65" i="1" s="1"/>
  <c r="E38" i="1"/>
  <c r="E49" i="1" s="1"/>
  <c r="E61" i="1" s="1"/>
  <c r="E62" i="1" s="1"/>
  <c r="E65" i="1" s="1"/>
  <c r="E64" i="1" l="1"/>
  <c r="E21" i="1" s="1"/>
  <c r="J64" i="1"/>
</calcChain>
</file>

<file path=xl/sharedStrings.xml><?xml version="1.0" encoding="utf-8"?>
<sst xmlns="http://schemas.openxmlformats.org/spreadsheetml/2006/main" count="129" uniqueCount="55">
  <si>
    <t>Publish Assumptions</t>
  </si>
  <si>
    <t>General Inputs</t>
  </si>
  <si>
    <t>Phase No.</t>
  </si>
  <si>
    <t>Project Name</t>
  </si>
  <si>
    <t>WAD</t>
  </si>
  <si>
    <t>Current</t>
  </si>
  <si>
    <t>Land Size (Acres)</t>
  </si>
  <si>
    <t>Closing Date</t>
  </si>
  <si>
    <t>Key Dates</t>
  </si>
  <si>
    <t>Construction Start</t>
  </si>
  <si>
    <t>Initial Occupancy</t>
  </si>
  <si>
    <t>Commercial Assumptions</t>
  </si>
  <si>
    <t>Annual Rent PSF</t>
  </si>
  <si>
    <t>Escalation</t>
  </si>
  <si>
    <t>Abatement</t>
  </si>
  <si>
    <t>Multifamily Assumptions</t>
  </si>
  <si>
    <t>Multifamily Unit Mix</t>
  </si>
  <si>
    <t>Input</t>
  </si>
  <si>
    <t>Unit Type</t>
  </si>
  <si>
    <t>Count</t>
  </si>
  <si>
    <t>Avg. SF</t>
  </si>
  <si>
    <t>$ PUPM</t>
  </si>
  <si>
    <t>Studio</t>
  </si>
  <si>
    <t>1 Bedroom</t>
  </si>
  <si>
    <t>2 Bedroom</t>
  </si>
  <si>
    <t>3 Bedroom</t>
  </si>
  <si>
    <t>Total</t>
  </si>
  <si>
    <t>Gross Potential Rent</t>
  </si>
  <si>
    <t>Vacancy</t>
  </si>
  <si>
    <t>Concessions</t>
  </si>
  <si>
    <t>Model</t>
  </si>
  <si>
    <t>Collection Loss</t>
  </si>
  <si>
    <t>Effective Rental Revenue</t>
  </si>
  <si>
    <t>Item</t>
  </si>
  <si>
    <t>$ Annual</t>
  </si>
  <si>
    <t>Total Other Income</t>
  </si>
  <si>
    <t>Effective Gross Revenue (EGR)</t>
  </si>
  <si>
    <t>Multifamily Operating Expenses</t>
  </si>
  <si>
    <t>$ PUPA</t>
  </si>
  <si>
    <t>Payroll</t>
  </si>
  <si>
    <t>Marketing</t>
  </si>
  <si>
    <t>Administrative</t>
  </si>
  <si>
    <t>Professional Fees</t>
  </si>
  <si>
    <t>Repairs &amp; Maint.</t>
  </si>
  <si>
    <t>Utilities</t>
  </si>
  <si>
    <t>Insurance</t>
  </si>
  <si>
    <t>RE Taxes</t>
  </si>
  <si>
    <t>Management Fee</t>
  </si>
  <si>
    <t>Total Operating Expenses</t>
  </si>
  <si>
    <t>Net Operating Income</t>
  </si>
  <si>
    <t>Opex Ratio</t>
  </si>
  <si>
    <t>#</t>
  </si>
  <si>
    <t>Phase #</t>
  </si>
  <si>
    <t>Last Updated</t>
  </si>
  <si>
    <t>RAD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</si>
</sst>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&quot;$&quot;#,##0.0_);[Red]\(&quot;$&quot;#,##0.0\)"/>
    <numFmt numFmtId="165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u/>
      <sz val="11"/>
      <color rgb="FF000000"/>
      <name val="Arial"/>
      <family val="2"/>
    </font>
    <font>
      <sz val="11"/>
      <color theme="6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0" fontId="3" fillId="0" borderId="0" xfId="0" applyFont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5" xfId="0" applyFont="1" applyBorder="1"/>
    <xf numFmtId="164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6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6" fontId="7" fillId="0" borderId="6" xfId="0" applyNumberFormat="1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6" fontId="5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/>
    </xf>
    <xf numFmtId="0" fontId="9" fillId="0" borderId="6" xfId="0" applyFont="1" applyBorder="1"/>
    <xf numFmtId="0" fontId="3" fillId="0" borderId="6" xfId="0" applyFont="1" applyBorder="1"/>
    <xf numFmtId="6" fontId="4" fillId="0" borderId="6" xfId="0" applyNumberFormat="1" applyFont="1" applyBorder="1" applyAlignment="1">
      <alignment horizontal="center"/>
    </xf>
    <xf numFmtId="6" fontId="3" fillId="0" borderId="6" xfId="0" applyNumberFormat="1" applyFont="1" applyBorder="1" applyAlignment="1">
      <alignment horizontal="center"/>
    </xf>
    <xf numFmtId="0" fontId="7" fillId="0" borderId="0" xfId="0" applyFont="1"/>
    <xf numFmtId="0" fontId="11" fillId="0" borderId="0" xfId="0" applyFont="1"/>
    <xf numFmtId="6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6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1"/>
    </xf>
    <xf numFmtId="6" fontId="3" fillId="0" borderId="0" xfId="1" applyNumberFormat="1" applyFont="1" applyBorder="1" applyAlignment="1">
      <alignment horizontal="center"/>
    </xf>
    <xf numFmtId="6" fontId="6" fillId="0" borderId="6" xfId="1" applyNumberFormat="1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0" fontId="7" fillId="0" borderId="6" xfId="0" applyFont="1" applyBorder="1"/>
    <xf numFmtId="6" fontId="10" fillId="0" borderId="6" xfId="0" applyNumberFormat="1" applyFont="1" applyBorder="1" applyAlignment="1">
      <alignment horizontal="center"/>
    </xf>
    <xf numFmtId="6" fontId="6" fillId="0" borderId="6" xfId="0" applyNumberFormat="1" applyFont="1" applyBorder="1" applyAlignment="1">
      <alignment horizontal="center"/>
    </xf>
    <xf numFmtId="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12" fillId="3" borderId="1" xfId="0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633588-EB8D-4510-B136-38228C12E8A0}">
  <we:reference id="wa200006804" version="1.0.0.3" store="en-US" storeType="OMEX"/>
  <we:alternateReferences>
    <we:reference id="WA200006804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E749-7371-4244-BB1B-4DFE62BE542C}">
  <dimension ref="B2:J65"/>
  <sheetViews>
    <sheetView showGridLines="0" tabSelected="1" topLeftCell="A4" zoomScale="76" workbookViewId="0">
      <selection activeCell="E36" sqref="E36"/>
    </sheetView>
  </sheetViews>
  <sheetFormatPr defaultColWidth="8.7265625" defaultRowHeight="14" outlineLevelRow="1" x14ac:dyDescent="0.3"/>
  <cols>
    <col min="1" max="1" width="2.81640625" style="6" customWidth="1"/>
    <col min="2" max="13" width="15.54296875" style="6" customWidth="1"/>
    <col min="14" max="16384" width="8.7265625" style="6"/>
  </cols>
  <sheetData>
    <row r="2" spans="2:9" x14ac:dyDescent="0.3">
      <c r="B2" s="7" t="s">
        <v>0</v>
      </c>
      <c r="C2" s="8"/>
      <c r="D2" s="9"/>
    </row>
    <row r="4" spans="2:9" x14ac:dyDescent="0.3">
      <c r="B4" s="4" t="s">
        <v>1</v>
      </c>
      <c r="C4" s="5"/>
      <c r="D4" s="5"/>
      <c r="G4" s="4" t="s">
        <v>1</v>
      </c>
      <c r="H4" s="5"/>
      <c r="I4" s="5"/>
    </row>
    <row r="5" spans="2:9" x14ac:dyDescent="0.3">
      <c r="B5" s="6" t="s">
        <v>2</v>
      </c>
      <c r="D5" s="10">
        <v>3</v>
      </c>
    </row>
    <row r="6" spans="2:9" x14ac:dyDescent="0.3">
      <c r="B6" s="6" t="s">
        <v>3</v>
      </c>
      <c r="D6" s="10" t="s">
        <v>54</v>
      </c>
      <c r="G6" s="16" t="s">
        <v>5</v>
      </c>
    </row>
    <row r="7" spans="2:9" x14ac:dyDescent="0.3">
      <c r="B7" s="6" t="s">
        <v>6</v>
      </c>
      <c r="D7" s="11">
        <v>2</v>
      </c>
      <c r="G7" s="6" t="s">
        <v>6</v>
      </c>
      <c r="I7" s="12">
        <v>2</v>
      </c>
    </row>
    <row r="8" spans="2:9" x14ac:dyDescent="0.3">
      <c r="B8" s="6" t="s">
        <v>7</v>
      </c>
      <c r="D8" s="51">
        <v>46204</v>
      </c>
      <c r="G8" s="6" t="s">
        <v>7</v>
      </c>
      <c r="I8" s="52">
        <v>46204</v>
      </c>
    </row>
    <row r="10" spans="2:9" x14ac:dyDescent="0.3">
      <c r="B10" s="16" t="s">
        <v>8</v>
      </c>
    </row>
    <row r="11" spans="2:9" x14ac:dyDescent="0.3">
      <c r="B11" s="6" t="s">
        <v>9</v>
      </c>
    </row>
    <row r="12" spans="2:9" x14ac:dyDescent="0.3">
      <c r="B12" s="6" t="s">
        <v>10</v>
      </c>
    </row>
    <row r="16" spans="2:9" x14ac:dyDescent="0.3">
      <c r="B16" s="13" t="s">
        <v>11</v>
      </c>
      <c r="C16" s="5"/>
      <c r="D16" s="5"/>
      <c r="E16" s="5"/>
    </row>
    <row r="17" spans="2:10" x14ac:dyDescent="0.3">
      <c r="B17" s="6" t="s">
        <v>12</v>
      </c>
      <c r="D17" s="14">
        <v>30</v>
      </c>
    </row>
    <row r="18" spans="2:10" x14ac:dyDescent="0.3">
      <c r="B18" s="6" t="s">
        <v>13</v>
      </c>
      <c r="D18" s="15">
        <v>0.03</v>
      </c>
    </row>
    <row r="19" spans="2:10" x14ac:dyDescent="0.3">
      <c r="B19" s="6" t="s">
        <v>14</v>
      </c>
    </row>
    <row r="21" spans="2:10" x14ac:dyDescent="0.3">
      <c r="B21" s="13" t="s">
        <v>15</v>
      </c>
      <c r="C21" s="5"/>
      <c r="D21" s="5"/>
      <c r="E21" s="50" t="str">
        <f>IF(E64&gt;0,"Active","Inactive")</f>
        <v>Active</v>
      </c>
      <c r="F21" s="5"/>
      <c r="G21" s="5"/>
      <c r="H21" s="5"/>
      <c r="I21" s="5"/>
      <c r="J21" s="5"/>
    </row>
    <row r="22" spans="2:10" outlineLevel="1" x14ac:dyDescent="0.3"/>
    <row r="23" spans="2:10" outlineLevel="1" x14ac:dyDescent="0.3">
      <c r="B23" s="53" t="s">
        <v>16</v>
      </c>
    </row>
    <row r="24" spans="2:10" outlineLevel="1" x14ac:dyDescent="0.3"/>
    <row r="25" spans="2:10" outlineLevel="1" x14ac:dyDescent="0.3">
      <c r="B25" s="16" t="s">
        <v>17</v>
      </c>
      <c r="G25" s="16" t="s">
        <v>5</v>
      </c>
    </row>
    <row r="26" spans="2:10" outlineLevel="1" x14ac:dyDescent="0.3">
      <c r="B26" s="24" t="s">
        <v>18</v>
      </c>
      <c r="C26" s="25" t="s">
        <v>19</v>
      </c>
      <c r="D26" s="25" t="s">
        <v>20</v>
      </c>
      <c r="E26" s="25" t="s">
        <v>21</v>
      </c>
      <c r="G26" s="24" t="s">
        <v>18</v>
      </c>
      <c r="H26" s="25" t="s">
        <v>19</v>
      </c>
      <c r="I26" s="25" t="s">
        <v>20</v>
      </c>
      <c r="J26" s="25" t="s">
        <v>21</v>
      </c>
    </row>
    <row r="27" spans="2:10" outlineLevel="1" x14ac:dyDescent="0.3">
      <c r="B27" s="17" t="s">
        <v>22</v>
      </c>
      <c r="C27" s="10">
        <v>1</v>
      </c>
      <c r="D27" s="18">
        <v>2000</v>
      </c>
      <c r="E27" s="19">
        <v>2000</v>
      </c>
      <c r="G27" s="26" t="s">
        <v>22</v>
      </c>
      <c r="H27" s="27">
        <v>1</v>
      </c>
      <c r="I27" s="28">
        <v>2000</v>
      </c>
      <c r="J27" s="29">
        <v>1000</v>
      </c>
    </row>
    <row r="28" spans="2:10" outlineLevel="1" x14ac:dyDescent="0.3">
      <c r="B28" s="17" t="s">
        <v>23</v>
      </c>
      <c r="C28" s="10">
        <v>1</v>
      </c>
      <c r="D28" s="18">
        <v>2000</v>
      </c>
      <c r="E28" s="19">
        <v>1500</v>
      </c>
      <c r="G28" s="26" t="s">
        <v>23</v>
      </c>
      <c r="H28" s="27">
        <v>1</v>
      </c>
      <c r="I28" s="28">
        <v>2000</v>
      </c>
      <c r="J28" s="29">
        <v>1000</v>
      </c>
    </row>
    <row r="29" spans="2:10" outlineLevel="1" x14ac:dyDescent="0.3">
      <c r="B29" s="17" t="s">
        <v>24</v>
      </c>
      <c r="C29" s="10">
        <v>1</v>
      </c>
      <c r="D29" s="18">
        <v>2000</v>
      </c>
      <c r="E29" s="19">
        <v>1000</v>
      </c>
      <c r="G29" s="26" t="s">
        <v>24</v>
      </c>
      <c r="H29" s="27">
        <v>1</v>
      </c>
      <c r="I29" s="28">
        <v>2000</v>
      </c>
      <c r="J29" s="29">
        <v>1000</v>
      </c>
    </row>
    <row r="30" spans="2:10" outlineLevel="1" x14ac:dyDescent="0.3">
      <c r="B30" s="17" t="s">
        <v>25</v>
      </c>
      <c r="C30" s="10">
        <v>1</v>
      </c>
      <c r="D30" s="18">
        <v>2000</v>
      </c>
      <c r="E30" s="19">
        <v>1000</v>
      </c>
      <c r="G30" s="26" t="s">
        <v>25</v>
      </c>
      <c r="H30" s="27">
        <v>1</v>
      </c>
      <c r="I30" s="28">
        <v>2000</v>
      </c>
      <c r="J30" s="29">
        <v>1000</v>
      </c>
    </row>
    <row r="31" spans="2:10" outlineLevel="1" x14ac:dyDescent="0.3">
      <c r="B31" s="20" t="s">
        <v>26</v>
      </c>
      <c r="C31" s="21">
        <f>SUM(C27:C30)</f>
        <v>4</v>
      </c>
      <c r="D31" s="22">
        <f>SUMPRODUCT(D$27:D$30,$C$27:$C$30)/$C$31</f>
        <v>2000</v>
      </c>
      <c r="E31" s="23">
        <f>SUMPRODUCT(E$27:E$30,$C$27:$C$30)/$C$31</f>
        <v>1375</v>
      </c>
      <c r="G31" s="20" t="s">
        <v>26</v>
      </c>
      <c r="H31" s="21">
        <f>SUM(H27:H30)</f>
        <v>4</v>
      </c>
      <c r="I31" s="22">
        <f>SUMPRODUCT(D$27:D$30,$C$27:$C$30)/$C$31</f>
        <v>2000</v>
      </c>
      <c r="J31" s="23">
        <f>SUMPRODUCT(E$27:E$30,$C$27:$C$30)/$C$31</f>
        <v>1375</v>
      </c>
    </row>
    <row r="32" spans="2:10" outlineLevel="1" x14ac:dyDescent="0.3">
      <c r="C32" s="38"/>
      <c r="D32" s="39"/>
      <c r="E32" s="40"/>
      <c r="G32" s="16"/>
      <c r="H32" s="38"/>
      <c r="I32" s="39"/>
      <c r="J32" s="40"/>
    </row>
    <row r="33" spans="2:10" outlineLevel="1" x14ac:dyDescent="0.3">
      <c r="B33" s="20" t="s">
        <v>27</v>
      </c>
      <c r="C33" s="20"/>
      <c r="D33" s="20"/>
      <c r="E33" s="43">
        <f>E31*C31*12</f>
        <v>66000</v>
      </c>
      <c r="G33" s="20" t="s">
        <v>27</v>
      </c>
      <c r="H33" s="20"/>
      <c r="I33" s="20"/>
      <c r="J33" s="43">
        <f>J31*H31*12</f>
        <v>66000</v>
      </c>
    </row>
    <row r="34" spans="2:10" outlineLevel="1" x14ac:dyDescent="0.3">
      <c r="B34" s="41" t="s">
        <v>28</v>
      </c>
      <c r="D34" s="15">
        <v>0.05</v>
      </c>
      <c r="E34" s="42">
        <f>E$33*-$D34</f>
        <v>-3300</v>
      </c>
      <c r="G34" s="41" t="s">
        <v>28</v>
      </c>
      <c r="I34" s="44">
        <v>0.05</v>
      </c>
      <c r="J34" s="42">
        <f>J$33*-$D34</f>
        <v>-3300</v>
      </c>
    </row>
    <row r="35" spans="2:10" outlineLevel="1" x14ac:dyDescent="0.3">
      <c r="B35" s="41" t="s">
        <v>29</v>
      </c>
      <c r="D35" s="15">
        <v>0</v>
      </c>
      <c r="E35" s="42">
        <f>E$33*-$D35</f>
        <v>0</v>
      </c>
      <c r="G35" s="41" t="s">
        <v>29</v>
      </c>
      <c r="I35" s="44">
        <v>0</v>
      </c>
      <c r="J35" s="42">
        <f t="shared" ref="J35:J37" si="0">J$33*-$D35</f>
        <v>0</v>
      </c>
    </row>
    <row r="36" spans="2:10" outlineLevel="1" x14ac:dyDescent="0.3">
      <c r="B36" s="41" t="s">
        <v>30</v>
      </c>
      <c r="D36" s="15">
        <v>0</v>
      </c>
      <c r="E36" s="42">
        <f>E$33*-$D36</f>
        <v>0</v>
      </c>
      <c r="G36" s="41" t="s">
        <v>30</v>
      </c>
      <c r="I36" s="44">
        <v>0</v>
      </c>
      <c r="J36" s="42">
        <f t="shared" si="0"/>
        <v>0</v>
      </c>
    </row>
    <row r="37" spans="2:10" outlineLevel="1" x14ac:dyDescent="0.3">
      <c r="B37" s="41" t="s">
        <v>31</v>
      </c>
      <c r="D37" s="15">
        <v>0</v>
      </c>
      <c r="E37" s="42">
        <f>E$33*-$D37</f>
        <v>0</v>
      </c>
      <c r="G37" s="41" t="s">
        <v>31</v>
      </c>
      <c r="I37" s="44">
        <v>0</v>
      </c>
      <c r="J37" s="42">
        <f t="shared" si="0"/>
        <v>0</v>
      </c>
    </row>
    <row r="38" spans="2:10" outlineLevel="1" x14ac:dyDescent="0.3">
      <c r="B38" s="20" t="s">
        <v>32</v>
      </c>
      <c r="C38" s="20"/>
      <c r="D38" s="20"/>
      <c r="E38" s="43">
        <f>SUM(E33:E37)</f>
        <v>62700</v>
      </c>
      <c r="G38" s="20" t="s">
        <v>32</v>
      </c>
      <c r="H38" s="20"/>
      <c r="I38" s="20"/>
      <c r="J38" s="43">
        <f>SUM(J33:J37)</f>
        <v>62700</v>
      </c>
    </row>
    <row r="39" spans="2:10" outlineLevel="1" x14ac:dyDescent="0.3"/>
    <row r="40" spans="2:10" outlineLevel="1" x14ac:dyDescent="0.3">
      <c r="B40" s="16" t="s">
        <v>17</v>
      </c>
      <c r="G40" s="16" t="s">
        <v>5</v>
      </c>
    </row>
    <row r="41" spans="2:10" outlineLevel="1" x14ac:dyDescent="0.3">
      <c r="B41" s="24" t="s">
        <v>33</v>
      </c>
      <c r="D41" s="25" t="s">
        <v>21</v>
      </c>
      <c r="E41" s="25" t="s">
        <v>34</v>
      </c>
      <c r="G41" s="24" t="s">
        <v>33</v>
      </c>
      <c r="I41" s="25" t="s">
        <v>21</v>
      </c>
      <c r="J41" s="25" t="s">
        <v>34</v>
      </c>
    </row>
    <row r="42" spans="2:10" outlineLevel="1" x14ac:dyDescent="0.3">
      <c r="B42" s="17" t="s">
        <v>33</v>
      </c>
      <c r="D42" s="19">
        <v>100</v>
      </c>
      <c r="E42" s="30">
        <f>D42*12*$C$31</f>
        <v>4800</v>
      </c>
      <c r="G42" s="26" t="s">
        <v>33</v>
      </c>
      <c r="H42" s="26"/>
      <c r="I42" s="29">
        <v>100</v>
      </c>
      <c r="J42" s="30">
        <f>I42*12*$C$31</f>
        <v>4800</v>
      </c>
    </row>
    <row r="43" spans="2:10" outlineLevel="1" x14ac:dyDescent="0.3">
      <c r="B43" s="17" t="s">
        <v>33</v>
      </c>
      <c r="D43" s="19">
        <v>100</v>
      </c>
      <c r="E43" s="30">
        <f>D43*12*$C$31</f>
        <v>4800</v>
      </c>
      <c r="G43" s="26" t="s">
        <v>33</v>
      </c>
      <c r="H43" s="26"/>
      <c r="I43" s="29">
        <v>100</v>
      </c>
      <c r="J43" s="30">
        <f>I43*12*$C$31</f>
        <v>4800</v>
      </c>
    </row>
    <row r="44" spans="2:10" outlineLevel="1" x14ac:dyDescent="0.3">
      <c r="B44" s="17" t="s">
        <v>33</v>
      </c>
      <c r="D44" s="19">
        <v>100</v>
      </c>
      <c r="E44" s="30">
        <f t="shared" ref="E44:E46" si="1">D44*12*$C$31</f>
        <v>4800</v>
      </c>
      <c r="G44" s="26" t="s">
        <v>33</v>
      </c>
      <c r="H44" s="26"/>
      <c r="I44" s="29">
        <v>100</v>
      </c>
      <c r="J44" s="30">
        <f t="shared" ref="J44:J46" si="2">I44*12*$C$31</f>
        <v>4800</v>
      </c>
    </row>
    <row r="45" spans="2:10" outlineLevel="1" x14ac:dyDescent="0.3">
      <c r="B45" s="17" t="s">
        <v>33</v>
      </c>
      <c r="D45" s="19">
        <v>100</v>
      </c>
      <c r="E45" s="30">
        <f t="shared" si="1"/>
        <v>4800</v>
      </c>
      <c r="G45" s="26" t="s">
        <v>33</v>
      </c>
      <c r="H45" s="26"/>
      <c r="I45" s="29">
        <v>100</v>
      </c>
      <c r="J45" s="30">
        <f t="shared" si="2"/>
        <v>4800</v>
      </c>
    </row>
    <row r="46" spans="2:10" outlineLevel="1" x14ac:dyDescent="0.3">
      <c r="B46" s="17" t="s">
        <v>33</v>
      </c>
      <c r="D46" s="19">
        <v>100</v>
      </c>
      <c r="E46" s="30">
        <f t="shared" si="1"/>
        <v>4800</v>
      </c>
      <c r="G46" s="26" t="s">
        <v>33</v>
      </c>
      <c r="H46" s="26"/>
      <c r="I46" s="29">
        <v>100</v>
      </c>
      <c r="J46" s="30">
        <f t="shared" si="2"/>
        <v>4800</v>
      </c>
    </row>
    <row r="47" spans="2:10" outlineLevel="1" x14ac:dyDescent="0.3">
      <c r="B47" s="31" t="s">
        <v>35</v>
      </c>
      <c r="C47" s="32"/>
      <c r="D47" s="33"/>
      <c r="E47" s="34">
        <f>SUM(E42:E46)</f>
        <v>24000</v>
      </c>
      <c r="G47" s="31" t="s">
        <v>35</v>
      </c>
      <c r="H47" s="32"/>
      <c r="I47" s="33"/>
      <c r="J47" s="34">
        <f>SUM(J42:J46)</f>
        <v>24000</v>
      </c>
    </row>
    <row r="48" spans="2:10" outlineLevel="1" x14ac:dyDescent="0.3">
      <c r="B48" s="17"/>
      <c r="D48" s="19"/>
      <c r="E48" s="30"/>
    </row>
    <row r="49" spans="2:10" outlineLevel="1" x14ac:dyDescent="0.3">
      <c r="B49" s="45" t="s">
        <v>36</v>
      </c>
      <c r="C49" s="20"/>
      <c r="D49" s="46"/>
      <c r="E49" s="47">
        <f>SUM(E47,E38)</f>
        <v>86700</v>
      </c>
      <c r="G49" s="45" t="s">
        <v>36</v>
      </c>
      <c r="H49" s="20"/>
      <c r="I49" s="46"/>
      <c r="J49" s="47">
        <f>SUM(J47,J38)</f>
        <v>86700</v>
      </c>
    </row>
    <row r="50" spans="2:10" outlineLevel="1" x14ac:dyDescent="0.3">
      <c r="B50" s="17"/>
      <c r="D50" s="19"/>
      <c r="E50" s="30"/>
    </row>
    <row r="51" spans="2:10" outlineLevel="1" x14ac:dyDescent="0.3">
      <c r="B51" s="35" t="s">
        <v>37</v>
      </c>
      <c r="D51" s="19"/>
      <c r="E51" s="30"/>
    </row>
    <row r="52" spans="2:10" outlineLevel="1" x14ac:dyDescent="0.3">
      <c r="B52" s="36" t="s">
        <v>33</v>
      </c>
      <c r="D52" s="25" t="s">
        <v>38</v>
      </c>
      <c r="E52" s="37" t="s">
        <v>34</v>
      </c>
      <c r="G52" s="36" t="s">
        <v>33</v>
      </c>
      <c r="I52" s="25" t="s">
        <v>38</v>
      </c>
      <c r="J52" s="37" t="s">
        <v>34</v>
      </c>
    </row>
    <row r="53" spans="2:10" outlineLevel="1" x14ac:dyDescent="0.3">
      <c r="B53" s="17" t="s">
        <v>39</v>
      </c>
      <c r="D53" s="19">
        <v>1150</v>
      </c>
      <c r="E53" s="30">
        <f t="shared" ref="E53:E60" si="3">D53*$C$31</f>
        <v>4600</v>
      </c>
      <c r="G53" s="26" t="s">
        <v>39</v>
      </c>
      <c r="H53" s="26"/>
      <c r="I53" s="29">
        <v>1150</v>
      </c>
      <c r="J53" s="30">
        <f>I53*$C$31</f>
        <v>4600</v>
      </c>
    </row>
    <row r="54" spans="2:10" outlineLevel="1" x14ac:dyDescent="0.3">
      <c r="B54" s="17" t="s">
        <v>40</v>
      </c>
      <c r="D54" s="19">
        <v>350</v>
      </c>
      <c r="E54" s="30">
        <f t="shared" si="3"/>
        <v>1400</v>
      </c>
      <c r="G54" s="26" t="s">
        <v>40</v>
      </c>
      <c r="H54" s="26"/>
      <c r="I54" s="29">
        <v>350</v>
      </c>
      <c r="J54" s="30">
        <f t="shared" ref="J54:J60" si="4">I54*$C$31</f>
        <v>1400</v>
      </c>
    </row>
    <row r="55" spans="2:10" outlineLevel="1" x14ac:dyDescent="0.3">
      <c r="B55" s="17" t="s">
        <v>41</v>
      </c>
      <c r="D55" s="19">
        <v>350</v>
      </c>
      <c r="E55" s="30">
        <f t="shared" si="3"/>
        <v>1400</v>
      </c>
      <c r="G55" s="26" t="s">
        <v>41</v>
      </c>
      <c r="H55" s="26"/>
      <c r="I55" s="29">
        <v>350</v>
      </c>
      <c r="J55" s="30">
        <f t="shared" si="4"/>
        <v>1400</v>
      </c>
    </row>
    <row r="56" spans="2:10" outlineLevel="1" x14ac:dyDescent="0.3">
      <c r="B56" s="17" t="s">
        <v>42</v>
      </c>
      <c r="D56" s="19">
        <v>10</v>
      </c>
      <c r="E56" s="30">
        <f t="shared" si="3"/>
        <v>40</v>
      </c>
      <c r="G56" s="26" t="s">
        <v>42</v>
      </c>
      <c r="H56" s="26"/>
      <c r="I56" s="29">
        <v>10</v>
      </c>
      <c r="J56" s="30">
        <f t="shared" si="4"/>
        <v>40</v>
      </c>
    </row>
    <row r="57" spans="2:10" outlineLevel="1" x14ac:dyDescent="0.3">
      <c r="B57" s="17" t="s">
        <v>43</v>
      </c>
      <c r="D57" s="19">
        <v>300</v>
      </c>
      <c r="E57" s="30">
        <f t="shared" si="3"/>
        <v>1200</v>
      </c>
      <c r="G57" s="26" t="s">
        <v>43</v>
      </c>
      <c r="H57" s="26"/>
      <c r="I57" s="29">
        <v>300</v>
      </c>
      <c r="J57" s="30">
        <f t="shared" si="4"/>
        <v>1200</v>
      </c>
    </row>
    <row r="58" spans="2:10" outlineLevel="1" x14ac:dyDescent="0.3">
      <c r="B58" s="17" t="s">
        <v>44</v>
      </c>
      <c r="D58" s="19">
        <v>900</v>
      </c>
      <c r="E58" s="30">
        <f t="shared" si="3"/>
        <v>3600</v>
      </c>
      <c r="G58" s="26" t="s">
        <v>44</v>
      </c>
      <c r="H58" s="26"/>
      <c r="I58" s="29">
        <v>900</v>
      </c>
      <c r="J58" s="30">
        <f t="shared" si="4"/>
        <v>3600</v>
      </c>
    </row>
    <row r="59" spans="2:10" outlineLevel="1" x14ac:dyDescent="0.3">
      <c r="B59" s="17" t="s">
        <v>45</v>
      </c>
      <c r="D59" s="19">
        <v>1000</v>
      </c>
      <c r="E59" s="30">
        <f t="shared" si="3"/>
        <v>4000</v>
      </c>
      <c r="G59" s="26" t="s">
        <v>45</v>
      </c>
      <c r="H59" s="26"/>
      <c r="I59" s="29">
        <v>1000</v>
      </c>
      <c r="J59" s="30">
        <f t="shared" si="4"/>
        <v>4000</v>
      </c>
    </row>
    <row r="60" spans="2:10" outlineLevel="1" x14ac:dyDescent="0.3">
      <c r="B60" s="17" t="s">
        <v>46</v>
      </c>
      <c r="D60" s="19">
        <v>4500</v>
      </c>
      <c r="E60" s="30">
        <f t="shared" si="3"/>
        <v>18000</v>
      </c>
      <c r="G60" s="26" t="s">
        <v>46</v>
      </c>
      <c r="H60" s="26"/>
      <c r="I60" s="29">
        <v>4500</v>
      </c>
      <c r="J60" s="30">
        <f t="shared" si="4"/>
        <v>18000</v>
      </c>
    </row>
    <row r="61" spans="2:10" outlineLevel="1" x14ac:dyDescent="0.3">
      <c r="B61" s="17" t="s">
        <v>47</v>
      </c>
      <c r="D61" s="15">
        <v>0.03</v>
      </c>
      <c r="E61" s="30">
        <f>$D$61*E49</f>
        <v>2601</v>
      </c>
      <c r="G61" s="26" t="s">
        <v>47</v>
      </c>
      <c r="H61" s="26"/>
      <c r="I61" s="44">
        <v>0.03</v>
      </c>
      <c r="J61" s="30">
        <f>$D$61*J49</f>
        <v>2601</v>
      </c>
    </row>
    <row r="62" spans="2:10" outlineLevel="1" x14ac:dyDescent="0.3">
      <c r="B62" s="20" t="s">
        <v>48</v>
      </c>
      <c r="C62" s="20"/>
      <c r="D62" s="20"/>
      <c r="E62" s="47">
        <f>SUM(E53:E61)</f>
        <v>36841</v>
      </c>
      <c r="G62" s="20" t="s">
        <v>48</v>
      </c>
      <c r="H62" s="20"/>
      <c r="I62" s="20"/>
      <c r="J62" s="47">
        <f>SUM(J53:J61)</f>
        <v>36841</v>
      </c>
    </row>
    <row r="63" spans="2:10" outlineLevel="1" x14ac:dyDescent="0.3"/>
    <row r="64" spans="2:10" outlineLevel="1" x14ac:dyDescent="0.3">
      <c r="B64" s="16" t="s">
        <v>49</v>
      </c>
      <c r="E64" s="48">
        <f>E49-E62</f>
        <v>49859</v>
      </c>
      <c r="G64" s="16" t="s">
        <v>49</v>
      </c>
      <c r="J64" s="48">
        <f>J49-J62</f>
        <v>49859</v>
      </c>
    </row>
    <row r="65" spans="2:10" outlineLevel="1" x14ac:dyDescent="0.3">
      <c r="B65" s="16" t="s">
        <v>50</v>
      </c>
      <c r="E65" s="49">
        <f>E62/E49</f>
        <v>0.42492502883506345</v>
      </c>
      <c r="G65" s="16" t="s">
        <v>50</v>
      </c>
      <c r="J65" s="49">
        <f>J62/J49</f>
        <v>0.42492502883506345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93D8-F2B3-4669-9929-AA294A32A7DC}">
  <dimension ref="A1:D27"/>
  <sheetViews>
    <sheetView zoomScale="127" workbookViewId="0">
      <selection activeCell="B18" sqref="B18"/>
    </sheetView>
  </sheetViews>
  <sheetFormatPr defaultColWidth="8.7265625" defaultRowHeight="10.5" x14ac:dyDescent="0.25"/>
  <cols>
    <col min="1" max="14" width="12.54296875" style="2" customWidth="1"/>
    <col min="15" max="16384" width="8.7265625" style="2"/>
  </cols>
  <sheetData>
    <row r="1" spans="1:4" x14ac:dyDescent="0.25">
      <c r="A1" s="1" t="s">
        <v>51</v>
      </c>
      <c r="B1" s="1" t="s">
        <v>52</v>
      </c>
      <c r="C1" s="1" t="s">
        <v>3</v>
      </c>
      <c r="D1" s="1" t="s">
        <v>53</v>
      </c>
    </row>
    <row r="2" spans="1:4" x14ac:dyDescent="0.25">
      <c r="B2" s="3">
        <v>1</v>
      </c>
      <c r="C2" s="3" t="s">
        <v>4</v>
      </c>
    </row>
    <row r="3" spans="1:4" x14ac:dyDescent="0.25">
      <c r="B3" s="3">
        <v>1</v>
      </c>
      <c r="C3" s="3" t="s">
        <v>4</v>
      </c>
    </row>
    <row r="4" spans="1:4" x14ac:dyDescent="0.25">
      <c r="B4" s="3">
        <v>1</v>
      </c>
      <c r="C4" s="3" t="s">
        <v>4</v>
      </c>
    </row>
    <row r="5" spans="1:4" x14ac:dyDescent="0.25">
      <c r="B5" s="3">
        <v>1</v>
      </c>
      <c r="C5" s="3" t="s">
        <v>4</v>
      </c>
    </row>
    <row r="6" spans="1:4" x14ac:dyDescent="0.25">
      <c r="B6" s="3">
        <v>1</v>
      </c>
      <c r="C6" s="3" t="s">
        <v>4</v>
      </c>
    </row>
    <row r="7" spans="1:4" x14ac:dyDescent="0.25">
      <c r="B7" s="3">
        <v>1</v>
      </c>
      <c r="C7" s="3" t="s">
        <v>4</v>
      </c>
    </row>
    <row r="8" spans="1:4" x14ac:dyDescent="0.25">
      <c r="B8" s="3">
        <v>1</v>
      </c>
      <c r="C8" s="3" t="s">
        <v>4</v>
      </c>
    </row>
    <row r="9" spans="1:4" x14ac:dyDescent="0.25">
      <c r="B9" s="3">
        <v>1</v>
      </c>
      <c r="C9" s="3" t="s">
        <v>4</v>
      </c>
    </row>
    <row r="10" spans="1:4" x14ac:dyDescent="0.25">
      <c r="B10" s="3">
        <v>1</v>
      </c>
      <c r="C10" s="3" t="s">
        <v>4</v>
      </c>
    </row>
    <row r="11" spans="1:4" x14ac:dyDescent="0.25">
      <c r="B11" s="3">
        <v>1</v>
      </c>
      <c r="C11" s="3" t="s">
        <v>4</v>
      </c>
    </row>
    <row r="12" spans="1:4" x14ac:dyDescent="0.25">
      <c r="B12" s="3">
        <v>1</v>
      </c>
      <c r="C12" s="3" t="s">
        <v>4</v>
      </c>
    </row>
    <row r="13" spans="1:4" x14ac:dyDescent="0.25">
      <c r="B13" s="3">
        <v>1</v>
      </c>
      <c r="C13" s="3" t="s">
        <v>4</v>
      </c>
    </row>
    <row r="14" spans="1:4" x14ac:dyDescent="0.25">
      <c r="B14" s="3">
        <v>1</v>
      </c>
      <c r="C14" s="3" t="s">
        <v>4</v>
      </c>
    </row>
    <row r="15" spans="1:4" x14ac:dyDescent="0.25">
      <c r="B15" s="3">
        <v>1</v>
      </c>
      <c r="C15" s="3" t="s">
        <v>4</v>
      </c>
    </row>
    <row r="16" spans="1:4" x14ac:dyDescent="0.25">
      <c r="B16" s="3">
        <v>1</v>
      </c>
      <c r="C16" s="3" t="s">
        <v>4</v>
      </c>
    </row>
    <row r="17" spans="2:3" x14ac:dyDescent="0.25">
      <c r="B17" s="3">
        <v>1</v>
      </c>
      <c r="C17" s="3" t="s">
        <v>4</v>
      </c>
    </row>
    <row r="18" spans="2:3" x14ac:dyDescent="0.25">
      <c r="B18" s="3">
        <v>1</v>
      </c>
      <c r="C18" s="3" t="s">
        <v>4</v>
      </c>
    </row>
    <row r="19" spans="2:3" x14ac:dyDescent="0.25">
      <c r="B19" s="3">
        <v>1</v>
      </c>
      <c r="C19" s="3" t="s">
        <v>4</v>
      </c>
    </row>
    <row r="20" spans="2:3" x14ac:dyDescent="0.25">
      <c r="B20" s="3">
        <v>1</v>
      </c>
      <c r="C20" s="3" t="s">
        <v>4</v>
      </c>
    </row>
    <row r="21" spans="2:3" x14ac:dyDescent="0.25">
      <c r="B21" s="3">
        <v>1</v>
      </c>
      <c r="C21" s="3" t="s">
        <v>4</v>
      </c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Kleinbrook Homes</dc:creator>
  <cp:keywords/>
  <dc:description/>
  <cp:lastModifiedBy>Kleinbrook Homes</cp:lastModifiedBy>
  <cp:revision/>
  <dcterms:created xsi:type="dcterms:W3CDTF">2026-06-22T13:39:13Z</dcterms:created>
  <dcterms:modified xsi:type="dcterms:W3CDTF">2026-06-23T05:46:16Z</dcterms:modified>
  <cp:category/>
  <cp:contentStatus/>
</cp:coreProperties>
</file>